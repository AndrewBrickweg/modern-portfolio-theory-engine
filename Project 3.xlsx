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wbrickweg/Library/Mobile Documents/com~apple~Preview/Documents/"/>
    </mc:Choice>
  </mc:AlternateContent>
  <xr:revisionPtr revIDLastSave="0" documentId="13_ncr:1_{B7A9B44D-8978-1B43-9690-4A8FF7B718E9}" xr6:coauthVersionLast="47" xr6:coauthVersionMax="47" xr10:uidLastSave="{00000000-0000-0000-0000-000000000000}"/>
  <bookViews>
    <workbookView xWindow="0" yWindow="0" windowWidth="28800" windowHeight="18000" activeTab="6" xr2:uid="{8F2D270C-6CF1-0541-94B3-5EEFE0625EA6}"/>
  </bookViews>
  <sheets>
    <sheet name="List of Funds" sheetId="1" r:id="rId1"/>
    <sheet name="Return Data" sheetId="2" r:id="rId2"/>
    <sheet name="Covariance Matrix" sheetId="3" r:id="rId3"/>
    <sheet name="Correlation Matrix" sheetId="6" r:id="rId4"/>
    <sheet name="Solver" sheetId="11" r:id="rId5"/>
    <sheet name="Shrunken Solver" sheetId="9" r:id="rId6"/>
    <sheet name="Frontier Comparison" sheetId="8" r:id="rId7"/>
    <sheet name="Specific Portfolio " sheetId="12" r:id="rId8"/>
  </sheets>
  <definedNames>
    <definedName name="solver_adj" localSheetId="5" hidden="1">'Shrunken Solver'!$C$42:$V$42</definedName>
    <definedName name="solver_adj" localSheetId="4" hidden="1">Solver!$C$42:$V$42</definedName>
    <definedName name="solver_adj" localSheetId="7" hidden="1">'Specific Portfolio '!$C$42:$V$42</definedName>
    <definedName name="solver_cvg" localSheetId="5" hidden="1">0.0001</definedName>
    <definedName name="solver_cvg" localSheetId="4" hidden="1">0.0001</definedName>
    <definedName name="solver_cvg" localSheetId="7" hidden="1">0.0001</definedName>
    <definedName name="solver_drv" localSheetId="5" hidden="1">1</definedName>
    <definedName name="solver_drv" localSheetId="4" hidden="1">2</definedName>
    <definedName name="solver_drv" localSheetId="7" hidden="1">1</definedName>
    <definedName name="solver_eng" localSheetId="5" hidden="1">1</definedName>
    <definedName name="solver_eng" localSheetId="4" hidden="1">1</definedName>
    <definedName name="solver_eng" localSheetId="7" hidden="1">1</definedName>
    <definedName name="solver_itr" localSheetId="5" hidden="1">2147483647</definedName>
    <definedName name="solver_itr" localSheetId="4" hidden="1">2147483647</definedName>
    <definedName name="solver_itr" localSheetId="7" hidden="1">2147483647</definedName>
    <definedName name="solver_lhs1" localSheetId="5" hidden="1">'Shrunken Solver'!$C$42:$V$42</definedName>
    <definedName name="solver_lhs1" localSheetId="4" hidden="1">Solver!$C$42:$V$42</definedName>
    <definedName name="solver_lhs1" localSheetId="7" hidden="1">'Specific Portfolio '!$C$42:$V$42</definedName>
    <definedName name="solver_lhs10" localSheetId="5" hidden="1">'Shrunken Solver'!$T$44</definedName>
    <definedName name="solver_lhs10" localSheetId="4" hidden="1">Solver!$T$44</definedName>
    <definedName name="solver_lhs10" localSheetId="7" hidden="1">'Specific Portfolio '!$T$44</definedName>
    <definedName name="solver_lhs11" localSheetId="5" hidden="1">'Shrunken Solver'!$T$44</definedName>
    <definedName name="solver_lhs11" localSheetId="4" hidden="1">Solver!$T$44</definedName>
    <definedName name="solver_lhs2" localSheetId="5" hidden="1">'Shrunken Solver'!$C$44</definedName>
    <definedName name="solver_lhs2" localSheetId="4" hidden="1">Solver!$C$44</definedName>
    <definedName name="solver_lhs2" localSheetId="7" hidden="1">'Specific Portfolio '!$C$44</definedName>
    <definedName name="solver_lhs3" localSheetId="5" hidden="1">'Shrunken Solver'!$C$44</definedName>
    <definedName name="solver_lhs3" localSheetId="4" hidden="1">Solver!$C$44</definedName>
    <definedName name="solver_lhs3" localSheetId="7" hidden="1">'Specific Portfolio '!$C$44</definedName>
    <definedName name="solver_lhs4" localSheetId="5" hidden="1">'Shrunken Solver'!$C$47</definedName>
    <definedName name="solver_lhs4" localSheetId="4" hidden="1">Solver!$C$47</definedName>
    <definedName name="solver_lhs4" localSheetId="7" hidden="1">'Specific Portfolio '!$C$47</definedName>
    <definedName name="solver_lhs5" localSheetId="5" hidden="1">'Shrunken Solver'!$K$44</definedName>
    <definedName name="solver_lhs5" localSheetId="4" hidden="1">Solver!$C$51</definedName>
    <definedName name="solver_lhs5" localSheetId="7" hidden="1">'Specific Portfolio '!$K$44</definedName>
    <definedName name="solver_lhs6" localSheetId="5" hidden="1">'Shrunken Solver'!$K$44</definedName>
    <definedName name="solver_lhs6" localSheetId="4" hidden="1">Solver!$K$44</definedName>
    <definedName name="solver_lhs6" localSheetId="7" hidden="1">'Specific Portfolio '!$K$44</definedName>
    <definedName name="solver_lhs7" localSheetId="5" hidden="1">'Shrunken Solver'!$P$44</definedName>
    <definedName name="solver_lhs7" localSheetId="4" hidden="1">Solver!$K$44</definedName>
    <definedName name="solver_lhs7" localSheetId="7" hidden="1">'Specific Portfolio '!$P$44</definedName>
    <definedName name="solver_lhs8" localSheetId="5" hidden="1">'Shrunken Solver'!$P$44</definedName>
    <definedName name="solver_lhs8" localSheetId="4" hidden="1">Solver!$P$44</definedName>
    <definedName name="solver_lhs8" localSheetId="7" hidden="1">'Specific Portfolio '!$P$44</definedName>
    <definedName name="solver_lhs9" localSheetId="5" hidden="1">'Shrunken Solver'!$T$44</definedName>
    <definedName name="solver_lhs9" localSheetId="4" hidden="1">Solver!$P$44</definedName>
    <definedName name="solver_lhs9" localSheetId="7" hidden="1">'Specific Portfolio '!$T$44</definedName>
    <definedName name="solver_lin" localSheetId="5" hidden="1">2</definedName>
    <definedName name="solver_lin" localSheetId="4" hidden="1">2</definedName>
    <definedName name="solver_lin" localSheetId="7" hidden="1">2</definedName>
    <definedName name="solver_mip" localSheetId="5" hidden="1">2147483647</definedName>
    <definedName name="solver_mip" localSheetId="4" hidden="1">2147483647</definedName>
    <definedName name="solver_mip" localSheetId="7" hidden="1">2147483647</definedName>
    <definedName name="solver_mni" localSheetId="5" hidden="1">30</definedName>
    <definedName name="solver_mni" localSheetId="4" hidden="1">30</definedName>
    <definedName name="solver_mni" localSheetId="7" hidden="1">30</definedName>
    <definedName name="solver_mrt" localSheetId="5" hidden="1">0.075</definedName>
    <definedName name="solver_mrt" localSheetId="4" hidden="1">0.075</definedName>
    <definedName name="solver_mrt" localSheetId="7" hidden="1">0.075</definedName>
    <definedName name="solver_msl" localSheetId="5" hidden="1">2</definedName>
    <definedName name="solver_msl" localSheetId="4" hidden="1">2</definedName>
    <definedName name="solver_msl" localSheetId="7" hidden="1">2</definedName>
    <definedName name="solver_neg" localSheetId="5" hidden="1">1</definedName>
    <definedName name="solver_neg" localSheetId="4" hidden="1">2</definedName>
    <definedName name="solver_neg" localSheetId="7" hidden="1">1</definedName>
    <definedName name="solver_nod" localSheetId="5" hidden="1">2147483647</definedName>
    <definedName name="solver_nod" localSheetId="4" hidden="1">2147483647</definedName>
    <definedName name="solver_nod" localSheetId="7" hidden="1">2147483647</definedName>
    <definedName name="solver_num" localSheetId="5" hidden="1">10</definedName>
    <definedName name="solver_num" localSheetId="4" hidden="1">11</definedName>
    <definedName name="solver_num" localSheetId="7" hidden="1">10</definedName>
    <definedName name="solver_opt" localSheetId="5" hidden="1">'Shrunken Solver'!$C$48</definedName>
    <definedName name="solver_opt" localSheetId="4" hidden="1">Solver!$C$48</definedName>
    <definedName name="solver_opt" localSheetId="7" hidden="1">'Specific Portfolio '!$I$50</definedName>
    <definedName name="solver_pre" localSheetId="5" hidden="1">0.000001</definedName>
    <definedName name="solver_pre" localSheetId="4" hidden="1">0.000001</definedName>
    <definedName name="solver_pre" localSheetId="7" hidden="1">0.000001</definedName>
    <definedName name="solver_rbv" localSheetId="5" hidden="1">1</definedName>
    <definedName name="solver_rbv" localSheetId="4" hidden="1">2</definedName>
    <definedName name="solver_rbv" localSheetId="7" hidden="1">1</definedName>
    <definedName name="solver_rel1" localSheetId="5" hidden="1">3</definedName>
    <definedName name="solver_rel1" localSheetId="4" hidden="1">3</definedName>
    <definedName name="solver_rel1" localSheetId="7" hidden="1">3</definedName>
    <definedName name="solver_rel10" localSheetId="5" hidden="1">3</definedName>
    <definedName name="solver_rel10" localSheetId="4" hidden="1">1</definedName>
    <definedName name="solver_rel10" localSheetId="7" hidden="1">3</definedName>
    <definedName name="solver_rel11" localSheetId="5" hidden="1">3</definedName>
    <definedName name="solver_rel11" localSheetId="4" hidden="1">3</definedName>
    <definedName name="solver_rel2" localSheetId="5" hidden="1">1</definedName>
    <definedName name="solver_rel2" localSheetId="4" hidden="1">1</definedName>
    <definedName name="solver_rel2" localSheetId="7" hidden="1">1</definedName>
    <definedName name="solver_rel3" localSheetId="5" hidden="1">3</definedName>
    <definedName name="solver_rel3" localSheetId="4" hidden="1">3</definedName>
    <definedName name="solver_rel3" localSheetId="7" hidden="1">3</definedName>
    <definedName name="solver_rel4" localSheetId="5" hidden="1">2</definedName>
    <definedName name="solver_rel4" localSheetId="4" hidden="1">2</definedName>
    <definedName name="solver_rel4" localSheetId="7" hidden="1">2</definedName>
    <definedName name="solver_rel5" localSheetId="5" hidden="1">1</definedName>
    <definedName name="solver_rel5" localSheetId="4" hidden="1">2</definedName>
    <definedName name="solver_rel5" localSheetId="7" hidden="1">1</definedName>
    <definedName name="solver_rel6" localSheetId="5" hidden="1">3</definedName>
    <definedName name="solver_rel6" localSheetId="4" hidden="1">1</definedName>
    <definedName name="solver_rel6" localSheetId="7" hidden="1">3</definedName>
    <definedName name="solver_rel7" localSheetId="5" hidden="1">1</definedName>
    <definedName name="solver_rel7" localSheetId="4" hidden="1">3</definedName>
    <definedName name="solver_rel7" localSheetId="7" hidden="1">1</definedName>
    <definedName name="solver_rel8" localSheetId="5" hidden="1">3</definedName>
    <definedName name="solver_rel8" localSheetId="4" hidden="1">1</definedName>
    <definedName name="solver_rel8" localSheetId="7" hidden="1">3</definedName>
    <definedName name="solver_rel9" localSheetId="5" hidden="1">1</definedName>
    <definedName name="solver_rel9" localSheetId="4" hidden="1">3</definedName>
    <definedName name="solver_rel9" localSheetId="7" hidden="1">1</definedName>
    <definedName name="solver_rhs1" localSheetId="5" hidden="1">0</definedName>
    <definedName name="solver_rhs1" localSheetId="4" hidden="1">0</definedName>
    <definedName name="solver_rhs1" localSheetId="7" hidden="1">0</definedName>
    <definedName name="solver_rhs10" localSheetId="5" hidden="1">'Shrunken Solver'!$C$58</definedName>
    <definedName name="solver_rhs10" localSheetId="4" hidden="1">Solver!$E$58</definedName>
    <definedName name="solver_rhs10" localSheetId="7" hidden="1">'Specific Portfolio '!$C$58</definedName>
    <definedName name="solver_rhs11" localSheetId="5" hidden="1">'Shrunken Solver'!$C$58</definedName>
    <definedName name="solver_rhs11" localSheetId="4" hidden="1">Solver!$C$58</definedName>
    <definedName name="solver_rhs2" localSheetId="5" hidden="1">'Shrunken Solver'!$E$55</definedName>
    <definedName name="solver_rhs2" localSheetId="4" hidden="1">Solver!$E$55</definedName>
    <definedName name="solver_rhs2" localSheetId="7" hidden="1">'Specific Portfolio '!$E$55</definedName>
    <definedName name="solver_rhs3" localSheetId="5" hidden="1">'Shrunken Solver'!$C$55</definedName>
    <definedName name="solver_rhs3" localSheetId="4" hidden="1">Solver!$C$55</definedName>
    <definedName name="solver_rhs3" localSheetId="7" hidden="1">'Specific Portfolio '!$C$55</definedName>
    <definedName name="solver_rhs4" localSheetId="5" hidden="1">1</definedName>
    <definedName name="solver_rhs4" localSheetId="4" hidden="1">1</definedName>
    <definedName name="solver_rhs4" localSheetId="7" hidden="1">1</definedName>
    <definedName name="solver_rhs5" localSheetId="5" hidden="1">'Shrunken Solver'!$E$56</definedName>
    <definedName name="solver_rhs5" localSheetId="4" hidden="1">Solver!$C$52</definedName>
    <definedName name="solver_rhs5" localSheetId="7" hidden="1">'Specific Portfolio '!$E$56</definedName>
    <definedName name="solver_rhs6" localSheetId="5" hidden="1">'Shrunken Solver'!$C$56</definedName>
    <definedName name="solver_rhs6" localSheetId="4" hidden="1">Solver!$E$56</definedName>
    <definedName name="solver_rhs6" localSheetId="7" hidden="1">'Specific Portfolio '!$C$56</definedName>
    <definedName name="solver_rhs7" localSheetId="5" hidden="1">'Shrunken Solver'!$E$57</definedName>
    <definedName name="solver_rhs7" localSheetId="4" hidden="1">Solver!$C$56</definedName>
    <definedName name="solver_rhs7" localSheetId="7" hidden="1">'Specific Portfolio '!$E$57</definedName>
    <definedName name="solver_rhs8" localSheetId="5" hidden="1">'Shrunken Solver'!$C$57</definedName>
    <definedName name="solver_rhs8" localSheetId="4" hidden="1">Solver!$E$57</definedName>
    <definedName name="solver_rhs8" localSheetId="7" hidden="1">'Specific Portfolio '!$C$57</definedName>
    <definedName name="solver_rhs9" localSheetId="5" hidden="1">'Shrunken Solver'!$E$58</definedName>
    <definedName name="solver_rhs9" localSheetId="4" hidden="1">Solver!$C$57</definedName>
    <definedName name="solver_rhs9" localSheetId="7" hidden="1">'Specific Portfolio '!$E$58</definedName>
    <definedName name="solver_rlx" localSheetId="5" hidden="1">1</definedName>
    <definedName name="solver_rlx" localSheetId="4" hidden="1">2</definedName>
    <definedName name="solver_rlx" localSheetId="7" hidden="1">1</definedName>
    <definedName name="solver_rsd" localSheetId="5" hidden="1">0</definedName>
    <definedName name="solver_rsd" localSheetId="4" hidden="1">0</definedName>
    <definedName name="solver_rsd" localSheetId="7" hidden="1">0</definedName>
    <definedName name="solver_scl" localSheetId="5" hidden="1">2</definedName>
    <definedName name="solver_scl" localSheetId="4" hidden="1">2</definedName>
    <definedName name="solver_scl" localSheetId="7" hidden="1">2</definedName>
    <definedName name="solver_sho" localSheetId="5" hidden="1">2</definedName>
    <definedName name="solver_sho" localSheetId="4" hidden="1">2</definedName>
    <definedName name="solver_sho" localSheetId="7" hidden="1">2</definedName>
    <definedName name="solver_ssz" localSheetId="5" hidden="1">100</definedName>
    <definedName name="solver_ssz" localSheetId="4" hidden="1">100</definedName>
    <definedName name="solver_ssz" localSheetId="7" hidden="1">100</definedName>
    <definedName name="solver_tim" localSheetId="5" hidden="1">2147483647</definedName>
    <definedName name="solver_tim" localSheetId="4" hidden="1">2147483647</definedName>
    <definedName name="solver_tim" localSheetId="7" hidden="1">2147483647</definedName>
    <definedName name="solver_tol" localSheetId="5" hidden="1">0.01</definedName>
    <definedName name="solver_tol" localSheetId="4" hidden="1">0.01</definedName>
    <definedName name="solver_tol" localSheetId="7" hidden="1">0.01</definedName>
    <definedName name="solver_typ" localSheetId="5" hidden="1">2</definedName>
    <definedName name="solver_typ" localSheetId="4" hidden="1">2</definedName>
    <definedName name="solver_typ" localSheetId="7" hidden="1">1</definedName>
    <definedName name="solver_val" localSheetId="5" hidden="1">0</definedName>
    <definedName name="solver_val" localSheetId="4" hidden="1">0</definedName>
    <definedName name="solver_val" localSheetId="7" hidden="1">0</definedName>
    <definedName name="solver_ver" localSheetId="5" hidden="1">2</definedName>
    <definedName name="solver_ver" localSheetId="4" hidden="1">2</definedName>
    <definedName name="solver_ver" localSheetId="7" hidden="1">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8" i="2" l="1"/>
  <c r="U39" i="2" s="1"/>
  <c r="T38" i="2"/>
  <c r="T39" i="2" s="1"/>
  <c r="S38" i="2"/>
  <c r="S39" i="2" s="1"/>
  <c r="R38" i="2"/>
  <c r="R39" i="2" s="1"/>
  <c r="Q38" i="2"/>
  <c r="Q39" i="2" s="1"/>
  <c r="P38" i="2"/>
  <c r="P39" i="2" s="1"/>
  <c r="O38" i="2"/>
  <c r="O39" i="2" s="1"/>
  <c r="N38" i="2"/>
  <c r="N39" i="2" s="1"/>
  <c r="M38" i="2"/>
  <c r="M39" i="2" s="1"/>
  <c r="L38" i="2"/>
  <c r="L39" i="2" s="1"/>
  <c r="K38" i="2"/>
  <c r="K39" i="2" s="1"/>
  <c r="J38" i="2"/>
  <c r="J39" i="2" s="1"/>
  <c r="I38" i="2"/>
  <c r="I39" i="2" s="1"/>
  <c r="H38" i="2"/>
  <c r="H39" i="2" s="1"/>
  <c r="G38" i="2"/>
  <c r="G39" i="2" s="1"/>
  <c r="F38" i="2"/>
  <c r="F39" i="2" s="1"/>
  <c r="E38" i="2"/>
  <c r="E39" i="2" s="1"/>
  <c r="D38" i="2"/>
  <c r="D39" i="2" s="1"/>
  <c r="C38" i="2"/>
  <c r="C39" i="2" s="1"/>
  <c r="B38" i="2"/>
  <c r="B39" i="2" s="1"/>
  <c r="AR118" i="2"/>
  <c r="AN118" i="2"/>
  <c r="AJ118" i="2"/>
  <c r="AG118" i="2"/>
  <c r="AD118" i="2"/>
  <c r="AA118" i="2" s="1"/>
  <c r="Y118" i="2"/>
  <c r="V118" i="2"/>
  <c r="S118" i="2"/>
  <c r="M118" i="2"/>
  <c r="J118" i="2"/>
  <c r="G118" i="2"/>
  <c r="D118" i="2"/>
  <c r="AR117" i="2"/>
  <c r="AN117" i="2"/>
  <c r="AJ117" i="2"/>
  <c r="AG117" i="2"/>
  <c r="AD117" i="2"/>
  <c r="Y117" i="2"/>
  <c r="V117" i="2"/>
  <c r="P117" i="2" s="1"/>
  <c r="S117" i="2"/>
  <c r="M117" i="2"/>
  <c r="J117" i="2"/>
  <c r="G117" i="2"/>
  <c r="D117" i="2"/>
  <c r="AR116" i="2"/>
  <c r="AN116" i="2"/>
  <c r="AJ116" i="2"/>
  <c r="AG116" i="2"/>
  <c r="AD116" i="2"/>
  <c r="AA116" i="2" s="1"/>
  <c r="Y116" i="2"/>
  <c r="V116" i="2"/>
  <c r="S116" i="2"/>
  <c r="M116" i="2"/>
  <c r="J116" i="2"/>
  <c r="G116" i="2"/>
  <c r="D116" i="2"/>
  <c r="AR115" i="2"/>
  <c r="AN115" i="2"/>
  <c r="AJ115" i="2"/>
  <c r="AG115" i="2"/>
  <c r="AD115" i="2"/>
  <c r="AA115" i="2" s="1"/>
  <c r="Y115" i="2"/>
  <c r="V115" i="2"/>
  <c r="S115" i="2"/>
  <c r="P115" i="2" s="1"/>
  <c r="M115" i="2"/>
  <c r="J115" i="2"/>
  <c r="G115" i="2"/>
  <c r="D115" i="2"/>
  <c r="AR114" i="2"/>
  <c r="AN114" i="2"/>
  <c r="AJ114" i="2"/>
  <c r="AG114" i="2"/>
  <c r="AD114" i="2"/>
  <c r="Y114" i="2"/>
  <c r="V114" i="2"/>
  <c r="S114" i="2"/>
  <c r="M114" i="2"/>
  <c r="J114" i="2"/>
  <c r="G114" i="2"/>
  <c r="D114" i="2"/>
  <c r="AR113" i="2"/>
  <c r="AN113" i="2"/>
  <c r="AJ113" i="2"/>
  <c r="AG113" i="2"/>
  <c r="AA113" i="2" s="1"/>
  <c r="AD113" i="2"/>
  <c r="Y113" i="2"/>
  <c r="V113" i="2"/>
  <c r="P113" i="2" s="1"/>
  <c r="S113" i="2"/>
  <c r="M113" i="2"/>
  <c r="J113" i="2"/>
  <c r="G113" i="2"/>
  <c r="D113" i="2"/>
  <c r="AR112" i="2"/>
  <c r="AN112" i="2"/>
  <c r="AJ112" i="2"/>
  <c r="AG112" i="2"/>
  <c r="AD112" i="2"/>
  <c r="AA112" i="2" s="1"/>
  <c r="Y112" i="2"/>
  <c r="V112" i="2"/>
  <c r="S112" i="2"/>
  <c r="P112" i="2" s="1"/>
  <c r="M112" i="2"/>
  <c r="J112" i="2"/>
  <c r="G112" i="2"/>
  <c r="D112" i="2"/>
  <c r="AR111" i="2"/>
  <c r="AN111" i="2"/>
  <c r="AJ111" i="2"/>
  <c r="AG111" i="2"/>
  <c r="AD111" i="2"/>
  <c r="AA111" i="2" s="1"/>
  <c r="Y111" i="2"/>
  <c r="V111" i="2"/>
  <c r="S111" i="2"/>
  <c r="P111" i="2" s="1"/>
  <c r="M111" i="2"/>
  <c r="J111" i="2"/>
  <c r="G111" i="2"/>
  <c r="D111" i="2"/>
  <c r="AR110" i="2"/>
  <c r="AN110" i="2"/>
  <c r="AJ110" i="2"/>
  <c r="AG110" i="2"/>
  <c r="AD110" i="2"/>
  <c r="Y110" i="2"/>
  <c r="V110" i="2"/>
  <c r="S110" i="2"/>
  <c r="M110" i="2"/>
  <c r="J110" i="2"/>
  <c r="G110" i="2"/>
  <c r="D110" i="2"/>
  <c r="AR109" i="2"/>
  <c r="AN109" i="2"/>
  <c r="AJ109" i="2"/>
  <c r="AG109" i="2"/>
  <c r="AA109" i="2" s="1"/>
  <c r="AD109" i="2"/>
  <c r="Y109" i="2"/>
  <c r="V109" i="2"/>
  <c r="P109" i="2" s="1"/>
  <c r="S109" i="2"/>
  <c r="M109" i="2"/>
  <c r="J109" i="2"/>
  <c r="G109" i="2"/>
  <c r="D109" i="2"/>
  <c r="AR108" i="2"/>
  <c r="AN108" i="2"/>
  <c r="AJ108" i="2"/>
  <c r="AG108" i="2"/>
  <c r="AD108" i="2"/>
  <c r="AA108" i="2" s="1"/>
  <c r="Y108" i="2"/>
  <c r="V108" i="2"/>
  <c r="S108" i="2"/>
  <c r="P108" i="2" s="1"/>
  <c r="M108" i="2"/>
  <c r="J108" i="2"/>
  <c r="G108" i="2"/>
  <c r="D108" i="2"/>
  <c r="AR107" i="2"/>
  <c r="AN107" i="2"/>
  <c r="AJ107" i="2"/>
  <c r="AG107" i="2"/>
  <c r="AD107" i="2"/>
  <c r="AA107" i="2" s="1"/>
  <c r="Y107" i="2"/>
  <c r="V107" i="2"/>
  <c r="S107" i="2"/>
  <c r="P107" i="2" s="1"/>
  <c r="M107" i="2"/>
  <c r="J107" i="2"/>
  <c r="G107" i="2"/>
  <c r="D107" i="2"/>
  <c r="AR106" i="2"/>
  <c r="AN106" i="2"/>
  <c r="AJ106" i="2"/>
  <c r="AG106" i="2"/>
  <c r="AD106" i="2"/>
  <c r="Y106" i="2"/>
  <c r="V106" i="2"/>
  <c r="S106" i="2"/>
  <c r="M106" i="2"/>
  <c r="J106" i="2"/>
  <c r="G106" i="2"/>
  <c r="D106" i="2"/>
  <c r="AR105" i="2"/>
  <c r="AN105" i="2"/>
  <c r="AJ105" i="2"/>
  <c r="AG105" i="2"/>
  <c r="AA105" i="2" s="1"/>
  <c r="AD105" i="2"/>
  <c r="Y105" i="2"/>
  <c r="V105" i="2"/>
  <c r="P105" i="2" s="1"/>
  <c r="S105" i="2"/>
  <c r="M105" i="2"/>
  <c r="J105" i="2"/>
  <c r="G105" i="2"/>
  <c r="D105" i="2"/>
  <c r="AR104" i="2"/>
  <c r="AN104" i="2"/>
  <c r="AJ104" i="2"/>
  <c r="AG104" i="2"/>
  <c r="AD104" i="2"/>
  <c r="AA104" i="2" s="1"/>
  <c r="Y104" i="2"/>
  <c r="V104" i="2"/>
  <c r="S104" i="2"/>
  <c r="P104" i="2" s="1"/>
  <c r="M104" i="2"/>
  <c r="J104" i="2"/>
  <c r="G104" i="2"/>
  <c r="D104" i="2"/>
  <c r="AR103" i="2"/>
  <c r="AN103" i="2"/>
  <c r="AJ103" i="2"/>
  <c r="AG103" i="2"/>
  <c r="AD103" i="2"/>
  <c r="AA103" i="2" s="1"/>
  <c r="Y103" i="2"/>
  <c r="V103" i="2"/>
  <c r="S103" i="2"/>
  <c r="P103" i="2" s="1"/>
  <c r="M103" i="2"/>
  <c r="J103" i="2"/>
  <c r="G103" i="2"/>
  <c r="D103" i="2"/>
  <c r="AR102" i="2"/>
  <c r="AN102" i="2"/>
  <c r="AJ102" i="2"/>
  <c r="AG102" i="2"/>
  <c r="AD102" i="2"/>
  <c r="Y102" i="2"/>
  <c r="V102" i="2"/>
  <c r="S102" i="2"/>
  <c r="M102" i="2"/>
  <c r="J102" i="2"/>
  <c r="G102" i="2"/>
  <c r="D102" i="2"/>
  <c r="AR101" i="2"/>
  <c r="AN101" i="2"/>
  <c r="AJ101" i="2"/>
  <c r="AG101" i="2"/>
  <c r="AA101" i="2" s="1"/>
  <c r="AD101" i="2"/>
  <c r="Y101" i="2"/>
  <c r="V101" i="2"/>
  <c r="P101" i="2" s="1"/>
  <c r="S101" i="2"/>
  <c r="M101" i="2"/>
  <c r="J101" i="2"/>
  <c r="G101" i="2"/>
  <c r="D101" i="2"/>
  <c r="AR100" i="2"/>
  <c r="AN100" i="2"/>
  <c r="AJ100" i="2"/>
  <c r="AG100" i="2"/>
  <c r="AD100" i="2"/>
  <c r="AA100" i="2" s="1"/>
  <c r="Y100" i="2"/>
  <c r="V100" i="2"/>
  <c r="S100" i="2"/>
  <c r="P100" i="2" s="1"/>
  <c r="M100" i="2"/>
  <c r="J100" i="2"/>
  <c r="G100" i="2"/>
  <c r="D100" i="2"/>
  <c r="AR99" i="2"/>
  <c r="AN99" i="2"/>
  <c r="AJ99" i="2"/>
  <c r="AG99" i="2"/>
  <c r="AD99" i="2"/>
  <c r="AA99" i="2" s="1"/>
  <c r="Y99" i="2"/>
  <c r="V99" i="2"/>
  <c r="S99" i="2"/>
  <c r="P99" i="2" s="1"/>
  <c r="M99" i="2"/>
  <c r="J99" i="2"/>
  <c r="G99" i="2"/>
  <c r="D99" i="2"/>
  <c r="AR98" i="2"/>
  <c r="AN98" i="2"/>
  <c r="AJ98" i="2"/>
  <c r="AG98" i="2"/>
  <c r="AD98" i="2"/>
  <c r="Y98" i="2"/>
  <c r="V98" i="2"/>
  <c r="S98" i="2"/>
  <c r="M98" i="2"/>
  <c r="J98" i="2"/>
  <c r="G98" i="2"/>
  <c r="D98" i="2"/>
  <c r="AR97" i="2"/>
  <c r="AN97" i="2"/>
  <c r="AJ97" i="2"/>
  <c r="AG97" i="2"/>
  <c r="AD97" i="2"/>
  <c r="AA97" i="2" s="1"/>
  <c r="Y97" i="2"/>
  <c r="V97" i="2"/>
  <c r="S97" i="2"/>
  <c r="P97" i="2" s="1"/>
  <c r="M97" i="2"/>
  <c r="J97" i="2"/>
  <c r="G97" i="2"/>
  <c r="D97" i="2"/>
  <c r="AR96" i="2"/>
  <c r="AN96" i="2"/>
  <c r="AJ96" i="2"/>
  <c r="AG96" i="2"/>
  <c r="AD96" i="2"/>
  <c r="AA96" i="2" s="1"/>
  <c r="Y96" i="2"/>
  <c r="V96" i="2"/>
  <c r="S96" i="2"/>
  <c r="M96" i="2"/>
  <c r="J96" i="2"/>
  <c r="G96" i="2"/>
  <c r="D96" i="2"/>
  <c r="AR95" i="2"/>
  <c r="AN95" i="2"/>
  <c r="AJ95" i="2"/>
  <c r="AG95" i="2"/>
  <c r="AD95" i="2"/>
  <c r="AA95" i="2" s="1"/>
  <c r="Y95" i="2"/>
  <c r="V95" i="2"/>
  <c r="S95" i="2"/>
  <c r="P95" i="2" s="1"/>
  <c r="M95" i="2"/>
  <c r="J95" i="2"/>
  <c r="G95" i="2"/>
  <c r="D95" i="2"/>
  <c r="AR94" i="2"/>
  <c r="AN94" i="2"/>
  <c r="AJ94" i="2"/>
  <c r="AG94" i="2"/>
  <c r="AD94" i="2"/>
  <c r="Y94" i="2"/>
  <c r="V94" i="2"/>
  <c r="S94" i="2"/>
  <c r="M94" i="2"/>
  <c r="J94" i="2"/>
  <c r="G94" i="2"/>
  <c r="D94" i="2"/>
  <c r="AR93" i="2"/>
  <c r="AN93" i="2"/>
  <c r="AJ93" i="2"/>
  <c r="AG93" i="2"/>
  <c r="AD93" i="2"/>
  <c r="AA93" i="2" s="1"/>
  <c r="Y93" i="2"/>
  <c r="V93" i="2"/>
  <c r="S93" i="2"/>
  <c r="P93" i="2" s="1"/>
  <c r="M93" i="2"/>
  <c r="J93" i="2"/>
  <c r="G93" i="2"/>
  <c r="D93" i="2"/>
  <c r="AR92" i="2"/>
  <c r="AN92" i="2"/>
  <c r="AJ92" i="2"/>
  <c r="AG92" i="2"/>
  <c r="AD92" i="2"/>
  <c r="AA92" i="2" s="1"/>
  <c r="Y92" i="2"/>
  <c r="V92" i="2"/>
  <c r="S92" i="2"/>
  <c r="M92" i="2"/>
  <c r="J92" i="2"/>
  <c r="G92" i="2"/>
  <c r="D92" i="2"/>
  <c r="AR91" i="2"/>
  <c r="AN91" i="2"/>
  <c r="AJ91" i="2"/>
  <c r="AG91" i="2"/>
  <c r="AD91" i="2"/>
  <c r="AA91" i="2" s="1"/>
  <c r="Y91" i="2"/>
  <c r="V91" i="2"/>
  <c r="S91" i="2"/>
  <c r="P91" i="2" s="1"/>
  <c r="M91" i="2"/>
  <c r="J91" i="2"/>
  <c r="G91" i="2"/>
  <c r="D91" i="2"/>
  <c r="AR90" i="2"/>
  <c r="AN90" i="2"/>
  <c r="AJ90" i="2"/>
  <c r="AG90" i="2"/>
  <c r="AD90" i="2"/>
  <c r="Y90" i="2"/>
  <c r="V90" i="2"/>
  <c r="S90" i="2"/>
  <c r="M90" i="2"/>
  <c r="J90" i="2"/>
  <c r="G90" i="2"/>
  <c r="D90" i="2"/>
  <c r="AR89" i="2"/>
  <c r="AN89" i="2"/>
  <c r="AJ89" i="2"/>
  <c r="AG89" i="2"/>
  <c r="AD89" i="2"/>
  <c r="AA89" i="2" s="1"/>
  <c r="Y89" i="2"/>
  <c r="V89" i="2"/>
  <c r="S89" i="2"/>
  <c r="P89" i="2" s="1"/>
  <c r="M89" i="2"/>
  <c r="J89" i="2"/>
  <c r="G89" i="2"/>
  <c r="D89" i="2"/>
  <c r="AR88" i="2"/>
  <c r="AN88" i="2"/>
  <c r="AJ88" i="2"/>
  <c r="AG88" i="2"/>
  <c r="AD88" i="2"/>
  <c r="AA88" i="2" s="1"/>
  <c r="Y88" i="2"/>
  <c r="V88" i="2"/>
  <c r="S88" i="2"/>
  <c r="M88" i="2"/>
  <c r="J88" i="2"/>
  <c r="G88" i="2"/>
  <c r="D88" i="2"/>
  <c r="AR87" i="2"/>
  <c r="AN87" i="2"/>
  <c r="AJ87" i="2"/>
  <c r="AG87" i="2"/>
  <c r="AD87" i="2"/>
  <c r="AA87" i="2" s="1"/>
  <c r="Y87" i="2"/>
  <c r="V87" i="2"/>
  <c r="S87" i="2"/>
  <c r="P87" i="2" s="1"/>
  <c r="M87" i="2"/>
  <c r="J87" i="2"/>
  <c r="G87" i="2"/>
  <c r="D87" i="2"/>
  <c r="AR86" i="2"/>
  <c r="AN86" i="2"/>
  <c r="AJ86" i="2"/>
  <c r="AG86" i="2"/>
  <c r="AD86" i="2"/>
  <c r="Y86" i="2"/>
  <c r="V86" i="2"/>
  <c r="S86" i="2"/>
  <c r="M86" i="2"/>
  <c r="J86" i="2"/>
  <c r="G86" i="2"/>
  <c r="D86" i="2"/>
  <c r="AR85" i="2"/>
  <c r="AN85" i="2"/>
  <c r="AJ85" i="2"/>
  <c r="AG85" i="2"/>
  <c r="AD85" i="2"/>
  <c r="AA85" i="2" s="1"/>
  <c r="Y85" i="2"/>
  <c r="V85" i="2"/>
  <c r="S85" i="2"/>
  <c r="P85" i="2" s="1"/>
  <c r="M85" i="2"/>
  <c r="J85" i="2"/>
  <c r="G85" i="2"/>
  <c r="D85" i="2"/>
  <c r="AR84" i="2"/>
  <c r="AN84" i="2"/>
  <c r="AJ84" i="2"/>
  <c r="AG84" i="2"/>
  <c r="AD84" i="2"/>
  <c r="AA84" i="2" s="1"/>
  <c r="Y84" i="2"/>
  <c r="V84" i="2"/>
  <c r="S84" i="2"/>
  <c r="M84" i="2"/>
  <c r="J84" i="2"/>
  <c r="G84" i="2"/>
  <c r="D84" i="2"/>
  <c r="AR83" i="2"/>
  <c r="AN83" i="2"/>
  <c r="AJ83" i="2"/>
  <c r="AG83" i="2"/>
  <c r="AD83" i="2"/>
  <c r="AA83" i="2" s="1"/>
  <c r="Y83" i="2"/>
  <c r="V83" i="2"/>
  <c r="S83" i="2"/>
  <c r="P83" i="2" s="1"/>
  <c r="M83" i="2"/>
  <c r="J83" i="2"/>
  <c r="G83" i="2"/>
  <c r="D83" i="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C47" i="12"/>
  <c r="T44" i="12"/>
  <c r="P44" i="12"/>
  <c r="K44" i="12"/>
  <c r="C44" i="12"/>
  <c r="U38" i="12"/>
  <c r="U39" i="12" s="1"/>
  <c r="T38" i="12"/>
  <c r="T39" i="12" s="1"/>
  <c r="S38" i="12"/>
  <c r="S39" i="12" s="1"/>
  <c r="R38" i="12"/>
  <c r="R39" i="12" s="1"/>
  <c r="Q38" i="12"/>
  <c r="Q39" i="12" s="1"/>
  <c r="P38" i="12"/>
  <c r="P39" i="12" s="1"/>
  <c r="O38" i="12"/>
  <c r="O39" i="12" s="1"/>
  <c r="N38" i="12"/>
  <c r="N39" i="12" s="1"/>
  <c r="M38" i="12"/>
  <c r="M39" i="12" s="1"/>
  <c r="L38" i="12"/>
  <c r="L39" i="12" s="1"/>
  <c r="K38" i="12"/>
  <c r="K39" i="12" s="1"/>
  <c r="J38" i="12"/>
  <c r="J39" i="12" s="1"/>
  <c r="I38" i="12"/>
  <c r="I39" i="12" s="1"/>
  <c r="H38" i="12"/>
  <c r="H39" i="12" s="1"/>
  <c r="G38" i="12"/>
  <c r="G39" i="12" s="1"/>
  <c r="F38" i="12"/>
  <c r="F39" i="12" s="1"/>
  <c r="E38" i="12"/>
  <c r="E39" i="12" s="1"/>
  <c r="D38" i="12"/>
  <c r="D39" i="12" s="1"/>
  <c r="C38" i="12"/>
  <c r="C39" i="12" s="1"/>
  <c r="B38" i="12"/>
  <c r="B39" i="12" s="1"/>
  <c r="S60" i="9"/>
  <c r="C44" i="11"/>
  <c r="S66" i="9"/>
  <c r="S65" i="9"/>
  <c r="S64" i="9"/>
  <c r="S63" i="9"/>
  <c r="S62" i="9"/>
  <c r="S61" i="9"/>
  <c r="S59" i="9"/>
  <c r="S58" i="9"/>
  <c r="S57" i="9"/>
  <c r="S56" i="9"/>
  <c r="S55" i="9"/>
  <c r="S54" i="9"/>
  <c r="S53" i="9"/>
  <c r="S52" i="9"/>
  <c r="S51" i="9"/>
  <c r="S50" i="9"/>
  <c r="S49" i="9"/>
  <c r="S48" i="9"/>
  <c r="S47" i="9"/>
  <c r="C47" i="9"/>
  <c r="T44" i="9"/>
  <c r="P44" i="9"/>
  <c r="K44" i="9"/>
  <c r="C44" i="9"/>
  <c r="U38" i="9"/>
  <c r="U39" i="9" s="1"/>
  <c r="T38" i="9"/>
  <c r="T39" i="9" s="1"/>
  <c r="S38" i="9"/>
  <c r="S39" i="9" s="1"/>
  <c r="R38" i="9"/>
  <c r="R39" i="9" s="1"/>
  <c r="Q38" i="9"/>
  <c r="Q39" i="9" s="1"/>
  <c r="P38" i="9"/>
  <c r="P39" i="9" s="1"/>
  <c r="O38" i="9"/>
  <c r="O39" i="9" s="1"/>
  <c r="N38" i="9"/>
  <c r="N39" i="9" s="1"/>
  <c r="M38" i="9"/>
  <c r="M39" i="9" s="1"/>
  <c r="L38" i="9"/>
  <c r="L39" i="9" s="1"/>
  <c r="K38" i="9"/>
  <c r="K39" i="9" s="1"/>
  <c r="J38" i="9"/>
  <c r="J39" i="9" s="1"/>
  <c r="I38" i="9"/>
  <c r="I39" i="9" s="1"/>
  <c r="H38" i="9"/>
  <c r="H39" i="9" s="1"/>
  <c r="G38" i="9"/>
  <c r="G39" i="9" s="1"/>
  <c r="F38" i="9"/>
  <c r="F39" i="9" s="1"/>
  <c r="E38" i="9"/>
  <c r="E39" i="9" s="1"/>
  <c r="D38" i="9"/>
  <c r="D39" i="9" s="1"/>
  <c r="C38" i="9"/>
  <c r="C39" i="9" s="1"/>
  <c r="B38" i="9"/>
  <c r="B39" i="9" s="1"/>
  <c r="C51" i="9" s="1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J84" i="3"/>
  <c r="K84" i="3"/>
  <c r="L84" i="3"/>
  <c r="M84" i="3"/>
  <c r="N84" i="3"/>
  <c r="O84" i="3"/>
  <c r="P84" i="3"/>
  <c r="Q84" i="3"/>
  <c r="R84" i="3"/>
  <c r="S84" i="3"/>
  <c r="T84" i="3"/>
  <c r="U84" i="3"/>
  <c r="K85" i="3"/>
  <c r="L85" i="3"/>
  <c r="M85" i="3"/>
  <c r="N85" i="3"/>
  <c r="O85" i="3"/>
  <c r="P85" i="3"/>
  <c r="Q85" i="3"/>
  <c r="R85" i="3"/>
  <c r="S85" i="3"/>
  <c r="T85" i="3"/>
  <c r="U85" i="3"/>
  <c r="L86" i="3"/>
  <c r="M86" i="3"/>
  <c r="N86" i="3"/>
  <c r="O86" i="3"/>
  <c r="P86" i="3"/>
  <c r="Q86" i="3"/>
  <c r="R86" i="3"/>
  <c r="S86" i="3"/>
  <c r="T86" i="3"/>
  <c r="U86" i="3"/>
  <c r="M87" i="3"/>
  <c r="N87" i="3"/>
  <c r="O87" i="3"/>
  <c r="P87" i="3"/>
  <c r="Q87" i="3"/>
  <c r="R87" i="3"/>
  <c r="S87" i="3"/>
  <c r="T87" i="3"/>
  <c r="U87" i="3"/>
  <c r="N88" i="3"/>
  <c r="O88" i="3"/>
  <c r="P88" i="3"/>
  <c r="Q88" i="3"/>
  <c r="R88" i="3"/>
  <c r="S88" i="3"/>
  <c r="T88" i="3"/>
  <c r="U88" i="3"/>
  <c r="O89" i="3"/>
  <c r="P89" i="3"/>
  <c r="Q89" i="3"/>
  <c r="R89" i="3"/>
  <c r="S89" i="3"/>
  <c r="T89" i="3"/>
  <c r="U89" i="3"/>
  <c r="P90" i="3"/>
  <c r="Q90" i="3"/>
  <c r="R90" i="3"/>
  <c r="S90" i="3"/>
  <c r="T90" i="3"/>
  <c r="U90" i="3"/>
  <c r="Q91" i="3"/>
  <c r="R91" i="3"/>
  <c r="S91" i="3"/>
  <c r="T91" i="3"/>
  <c r="U91" i="3"/>
  <c r="R92" i="3"/>
  <c r="S92" i="3"/>
  <c r="T92" i="3"/>
  <c r="U92" i="3"/>
  <c r="S93" i="3"/>
  <c r="T93" i="3"/>
  <c r="U93" i="3"/>
  <c r="T94" i="3"/>
  <c r="U94" i="3"/>
  <c r="U95" i="3"/>
  <c r="B44" i="6"/>
  <c r="AA86" i="2" l="1"/>
  <c r="AA90" i="2"/>
  <c r="AA94" i="2"/>
  <c r="AA98" i="2"/>
  <c r="AA102" i="2"/>
  <c r="AA106" i="2"/>
  <c r="AA110" i="2"/>
  <c r="AA114" i="2"/>
  <c r="P118" i="2"/>
  <c r="P86" i="2"/>
  <c r="P90" i="2"/>
  <c r="P94" i="2"/>
  <c r="P98" i="2"/>
  <c r="P102" i="2"/>
  <c r="P106" i="2"/>
  <c r="P110" i="2"/>
  <c r="P114" i="2"/>
  <c r="AA117" i="2"/>
  <c r="P84" i="2"/>
  <c r="P88" i="2"/>
  <c r="P92" i="2"/>
  <c r="P96" i="2"/>
  <c r="P116" i="2"/>
  <c r="C51" i="12"/>
  <c r="C51" i="11" l="1"/>
  <c r="C47" i="11"/>
  <c r="T44" i="11" l="1"/>
  <c r="P44" i="11"/>
  <c r="K44" i="11"/>
  <c r="J39" i="11"/>
  <c r="G39" i="11"/>
  <c r="D39" i="11"/>
  <c r="E39" i="11"/>
  <c r="F39" i="11"/>
  <c r="H39" i="11"/>
  <c r="I39" i="11"/>
  <c r="K39" i="11"/>
  <c r="L39" i="11"/>
  <c r="M39" i="11"/>
  <c r="N39" i="11"/>
  <c r="O39" i="11"/>
  <c r="P39" i="11"/>
  <c r="Q39" i="11"/>
  <c r="R39" i="11"/>
  <c r="S39" i="11"/>
  <c r="T39" i="11"/>
  <c r="U39" i="11"/>
  <c r="C39" i="11"/>
  <c r="B39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C38" i="11"/>
  <c r="B38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U30" i="3" l="1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8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7" i="3"/>
  <c r="S48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6" i="3"/>
  <c r="R47" i="3"/>
  <c r="R48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5" i="3"/>
  <c r="Q46" i="3"/>
  <c r="Q47" i="3"/>
  <c r="Q48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4" i="3"/>
  <c r="P45" i="3"/>
  <c r="P46" i="3"/>
  <c r="P47" i="3"/>
  <c r="P48" i="3"/>
  <c r="O30" i="3"/>
  <c r="O31" i="3"/>
  <c r="O32" i="3"/>
  <c r="O33" i="3"/>
  <c r="O34" i="3"/>
  <c r="O35" i="3"/>
  <c r="O36" i="3"/>
  <c r="O37" i="3"/>
  <c r="O38" i="3"/>
  <c r="O39" i="3"/>
  <c r="O40" i="3"/>
  <c r="O41" i="3"/>
  <c r="O43" i="3"/>
  <c r="O44" i="3"/>
  <c r="O45" i="3"/>
  <c r="O46" i="3"/>
  <c r="O47" i="3"/>
  <c r="O48" i="3"/>
  <c r="N30" i="3"/>
  <c r="N31" i="3"/>
  <c r="N32" i="3"/>
  <c r="N33" i="3"/>
  <c r="N34" i="3"/>
  <c r="N35" i="3"/>
  <c r="N36" i="3"/>
  <c r="N37" i="3"/>
  <c r="N38" i="3"/>
  <c r="N39" i="3"/>
  <c r="N40" i="3"/>
  <c r="N42" i="3"/>
  <c r="N43" i="3"/>
  <c r="N44" i="3"/>
  <c r="N45" i="3"/>
  <c r="N46" i="3"/>
  <c r="N47" i="3"/>
  <c r="N48" i="3"/>
  <c r="M30" i="3"/>
  <c r="M31" i="3"/>
  <c r="M32" i="3"/>
  <c r="M33" i="3"/>
  <c r="M34" i="3"/>
  <c r="M35" i="3"/>
  <c r="M36" i="3"/>
  <c r="M37" i="3"/>
  <c r="M38" i="3"/>
  <c r="M39" i="3"/>
  <c r="M41" i="3"/>
  <c r="M42" i="3"/>
  <c r="M43" i="3"/>
  <c r="M44" i="3"/>
  <c r="M45" i="3"/>
  <c r="M46" i="3"/>
  <c r="M47" i="3"/>
  <c r="M48" i="3"/>
  <c r="L30" i="3"/>
  <c r="L31" i="3"/>
  <c r="L32" i="3"/>
  <c r="L33" i="3"/>
  <c r="L34" i="3"/>
  <c r="L35" i="3"/>
  <c r="L36" i="3"/>
  <c r="L37" i="3"/>
  <c r="L38" i="3"/>
  <c r="L40" i="3"/>
  <c r="L41" i="3"/>
  <c r="L42" i="3"/>
  <c r="L43" i="3"/>
  <c r="L44" i="3"/>
  <c r="L45" i="3"/>
  <c r="L46" i="3"/>
  <c r="L47" i="3"/>
  <c r="L48" i="3"/>
  <c r="K30" i="3"/>
  <c r="K31" i="3"/>
  <c r="K32" i="3"/>
  <c r="K33" i="3"/>
  <c r="K34" i="3"/>
  <c r="K35" i="3"/>
  <c r="K36" i="3"/>
  <c r="K37" i="3"/>
  <c r="K39" i="3"/>
  <c r="K40" i="3"/>
  <c r="K41" i="3"/>
  <c r="K42" i="3"/>
  <c r="K43" i="3"/>
  <c r="K44" i="3"/>
  <c r="K45" i="3"/>
  <c r="K46" i="3"/>
  <c r="K47" i="3"/>
  <c r="K48" i="3"/>
  <c r="J30" i="3"/>
  <c r="J31" i="3"/>
  <c r="J32" i="3"/>
  <c r="J33" i="3"/>
  <c r="J34" i="3"/>
  <c r="J35" i="3"/>
  <c r="J36" i="3"/>
  <c r="J38" i="3"/>
  <c r="J39" i="3"/>
  <c r="J40" i="3"/>
  <c r="J41" i="3"/>
  <c r="J42" i="3"/>
  <c r="J43" i="3"/>
  <c r="J44" i="3"/>
  <c r="J45" i="3"/>
  <c r="J46" i="3"/>
  <c r="J47" i="3"/>
  <c r="J48" i="3"/>
  <c r="I30" i="3"/>
  <c r="I31" i="3"/>
  <c r="I32" i="3"/>
  <c r="I33" i="3"/>
  <c r="I34" i="3"/>
  <c r="I35" i="3"/>
  <c r="I37" i="3"/>
  <c r="I38" i="3"/>
  <c r="I39" i="3"/>
  <c r="I40" i="3"/>
  <c r="I41" i="3"/>
  <c r="I42" i="3"/>
  <c r="I43" i="3"/>
  <c r="I44" i="3"/>
  <c r="I45" i="3"/>
  <c r="I46" i="3"/>
  <c r="I47" i="3"/>
  <c r="I48" i="3"/>
  <c r="H30" i="3"/>
  <c r="H31" i="3"/>
  <c r="H32" i="3"/>
  <c r="H33" i="3"/>
  <c r="H34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G30" i="3"/>
  <c r="G31" i="3"/>
  <c r="G32" i="3"/>
  <c r="G33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F30" i="3"/>
  <c r="F31" i="3"/>
  <c r="F32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E30" i="3"/>
  <c r="E31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D30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29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30" i="3"/>
  <c r="U24" i="3"/>
  <c r="U48" i="3" s="1"/>
  <c r="T23" i="3"/>
  <c r="T47" i="3" s="1"/>
  <c r="S22" i="3"/>
  <c r="S46" i="3" s="1"/>
  <c r="R21" i="3"/>
  <c r="R45" i="3" s="1"/>
  <c r="Q20" i="3"/>
  <c r="Q44" i="3" s="1"/>
  <c r="P19" i="3"/>
  <c r="P43" i="3" s="1"/>
  <c r="O18" i="3"/>
  <c r="O42" i="3" s="1"/>
  <c r="N17" i="3"/>
  <c r="N41" i="3" s="1"/>
  <c r="M16" i="3"/>
  <c r="M40" i="3" s="1"/>
  <c r="L15" i="3"/>
  <c r="L39" i="3" s="1"/>
  <c r="K14" i="3"/>
  <c r="K38" i="3" s="1"/>
  <c r="J13" i="3"/>
  <c r="J37" i="3" s="1"/>
  <c r="I12" i="3"/>
  <c r="I36" i="3" s="1"/>
  <c r="H11" i="3"/>
  <c r="H35" i="3" s="1"/>
  <c r="G10" i="3"/>
  <c r="G34" i="3" s="1"/>
  <c r="F9" i="3"/>
  <c r="F33" i="3" s="1"/>
  <c r="E8" i="3"/>
  <c r="E32" i="3" s="1"/>
  <c r="D7" i="3"/>
  <c r="D31" i="3" s="1"/>
  <c r="C6" i="3"/>
  <c r="C30" i="3" s="1"/>
  <c r="B5" i="3"/>
  <c r="B29" i="3" s="1"/>
  <c r="D43" i="2"/>
  <c r="G43" i="2"/>
  <c r="J43" i="2"/>
  <c r="M43" i="2"/>
  <c r="P43" i="2"/>
  <c r="S43" i="2"/>
  <c r="V43" i="2"/>
  <c r="Y43" i="2"/>
  <c r="AC43" i="2"/>
  <c r="AF43" i="2"/>
  <c r="AI43" i="2"/>
  <c r="AL43" i="2"/>
  <c r="AO43" i="2"/>
  <c r="D44" i="2"/>
  <c r="G44" i="2"/>
  <c r="J44" i="2"/>
  <c r="M44" i="2"/>
  <c r="P44" i="2"/>
  <c r="S44" i="2"/>
  <c r="V44" i="2"/>
  <c r="Y44" i="2"/>
  <c r="AC44" i="2"/>
  <c r="AF44" i="2"/>
  <c r="AI44" i="2"/>
  <c r="AL44" i="2"/>
  <c r="AO44" i="2"/>
  <c r="D45" i="2"/>
  <c r="G45" i="2"/>
  <c r="J45" i="2"/>
  <c r="M45" i="2"/>
  <c r="P45" i="2"/>
  <c r="S45" i="2"/>
  <c r="V45" i="2"/>
  <c r="Y45" i="2"/>
  <c r="AC45" i="2"/>
  <c r="AF45" i="2"/>
  <c r="AI45" i="2"/>
  <c r="AL45" i="2"/>
  <c r="AO45" i="2"/>
  <c r="D46" i="2"/>
  <c r="G46" i="2"/>
  <c r="J46" i="2"/>
  <c r="M46" i="2"/>
  <c r="P46" i="2"/>
  <c r="S46" i="2"/>
  <c r="V46" i="2"/>
  <c r="Y46" i="2"/>
  <c r="AC46" i="2"/>
  <c r="AF46" i="2"/>
  <c r="AI46" i="2"/>
  <c r="AL46" i="2"/>
  <c r="AO46" i="2"/>
  <c r="D47" i="2"/>
  <c r="G47" i="2"/>
  <c r="J47" i="2"/>
  <c r="M47" i="2"/>
  <c r="P47" i="2"/>
  <c r="S47" i="2"/>
  <c r="V47" i="2"/>
  <c r="Y47" i="2"/>
  <c r="AC47" i="2"/>
  <c r="AF47" i="2"/>
  <c r="AI47" i="2"/>
  <c r="AL47" i="2"/>
  <c r="AO47" i="2"/>
  <c r="D48" i="2"/>
  <c r="G48" i="2"/>
  <c r="J48" i="2"/>
  <c r="M48" i="2"/>
  <c r="P48" i="2"/>
  <c r="S48" i="2"/>
  <c r="V48" i="2"/>
  <c r="Y48" i="2"/>
  <c r="AC48" i="2"/>
  <c r="AF48" i="2"/>
  <c r="AI48" i="2"/>
  <c r="AL48" i="2"/>
  <c r="AO48" i="2"/>
  <c r="D49" i="2"/>
  <c r="G49" i="2"/>
  <c r="J49" i="2"/>
  <c r="M49" i="2"/>
  <c r="P49" i="2"/>
  <c r="S49" i="2"/>
  <c r="V49" i="2"/>
  <c r="Y49" i="2"/>
  <c r="AC49" i="2"/>
  <c r="AF49" i="2"/>
  <c r="AI49" i="2"/>
  <c r="AL49" i="2"/>
  <c r="AO49" i="2"/>
  <c r="D50" i="2"/>
  <c r="G50" i="2"/>
  <c r="J50" i="2"/>
  <c r="M50" i="2"/>
  <c r="P50" i="2"/>
  <c r="S50" i="2"/>
  <c r="V50" i="2"/>
  <c r="Y50" i="2"/>
  <c r="AC50" i="2"/>
  <c r="AF50" i="2"/>
  <c r="AI50" i="2"/>
  <c r="AL50" i="2"/>
  <c r="AO50" i="2"/>
  <c r="D51" i="2"/>
  <c r="G51" i="2"/>
  <c r="J51" i="2"/>
  <c r="M51" i="2"/>
  <c r="P51" i="2"/>
  <c r="S51" i="2"/>
  <c r="V51" i="2"/>
  <c r="Y51" i="2"/>
  <c r="AC51" i="2"/>
  <c r="AF51" i="2"/>
  <c r="AI51" i="2"/>
  <c r="AL51" i="2"/>
  <c r="AO51" i="2"/>
  <c r="D52" i="2"/>
  <c r="G52" i="2"/>
  <c r="J52" i="2"/>
  <c r="M52" i="2"/>
  <c r="P52" i="2"/>
  <c r="S52" i="2"/>
  <c r="V52" i="2"/>
  <c r="Y52" i="2"/>
  <c r="AC52" i="2"/>
  <c r="AF52" i="2"/>
  <c r="AI52" i="2"/>
  <c r="AL52" i="2"/>
  <c r="AO52" i="2"/>
  <c r="D53" i="2"/>
  <c r="G53" i="2"/>
  <c r="J53" i="2"/>
  <c r="M53" i="2"/>
  <c r="P53" i="2"/>
  <c r="S53" i="2"/>
  <c r="V53" i="2"/>
  <c r="Y53" i="2"/>
  <c r="AC53" i="2"/>
  <c r="AF53" i="2"/>
  <c r="AI53" i="2"/>
  <c r="AL53" i="2"/>
  <c r="AO53" i="2"/>
  <c r="D54" i="2"/>
  <c r="G54" i="2"/>
  <c r="J54" i="2"/>
  <c r="M54" i="2"/>
  <c r="P54" i="2"/>
  <c r="S54" i="2"/>
  <c r="V54" i="2"/>
  <c r="Y54" i="2"/>
  <c r="AC54" i="2"/>
  <c r="AF54" i="2"/>
  <c r="AI54" i="2"/>
  <c r="AL54" i="2"/>
  <c r="AO54" i="2"/>
  <c r="D55" i="2"/>
  <c r="G55" i="2"/>
  <c r="J55" i="2"/>
  <c r="M55" i="2"/>
  <c r="P55" i="2"/>
  <c r="S55" i="2"/>
  <c r="V55" i="2"/>
  <c r="Y55" i="2"/>
  <c r="AC55" i="2"/>
  <c r="AF55" i="2"/>
  <c r="AI55" i="2"/>
  <c r="AL55" i="2"/>
  <c r="AO55" i="2"/>
  <c r="D56" i="2"/>
  <c r="G56" i="2"/>
  <c r="J56" i="2"/>
  <c r="M56" i="2"/>
  <c r="P56" i="2"/>
  <c r="S56" i="2"/>
  <c r="V56" i="2"/>
  <c r="Y56" i="2"/>
  <c r="AC56" i="2"/>
  <c r="AF56" i="2"/>
  <c r="AI56" i="2"/>
  <c r="AL56" i="2"/>
  <c r="AO56" i="2"/>
  <c r="D57" i="2"/>
  <c r="G57" i="2"/>
  <c r="J57" i="2"/>
  <c r="M57" i="2"/>
  <c r="P57" i="2"/>
  <c r="S57" i="2"/>
  <c r="V57" i="2"/>
  <c r="Y57" i="2"/>
  <c r="AC57" i="2"/>
  <c r="AF57" i="2"/>
  <c r="AI57" i="2"/>
  <c r="AL57" i="2"/>
  <c r="AO57" i="2"/>
  <c r="D58" i="2"/>
  <c r="G58" i="2"/>
  <c r="J58" i="2"/>
  <c r="M58" i="2"/>
  <c r="P58" i="2"/>
  <c r="S58" i="2"/>
  <c r="V58" i="2"/>
  <c r="Y58" i="2"/>
  <c r="AC58" i="2"/>
  <c r="AF58" i="2"/>
  <c r="AI58" i="2"/>
  <c r="AL58" i="2"/>
  <c r="AO58" i="2"/>
  <c r="D59" i="2"/>
  <c r="G59" i="2"/>
  <c r="J59" i="2"/>
  <c r="M59" i="2"/>
  <c r="P59" i="2"/>
  <c r="S59" i="2"/>
  <c r="V59" i="2"/>
  <c r="Y59" i="2"/>
  <c r="AC59" i="2"/>
  <c r="AF59" i="2"/>
  <c r="AI59" i="2"/>
  <c r="AL59" i="2"/>
  <c r="AO59" i="2"/>
  <c r="D60" i="2"/>
  <c r="G60" i="2"/>
  <c r="J60" i="2"/>
  <c r="M60" i="2"/>
  <c r="P60" i="2"/>
  <c r="S60" i="2"/>
  <c r="V60" i="2"/>
  <c r="Y60" i="2"/>
  <c r="AC60" i="2"/>
  <c r="AF60" i="2"/>
  <c r="AI60" i="2"/>
  <c r="AL60" i="2"/>
  <c r="AO60" i="2"/>
  <c r="D61" i="2"/>
  <c r="G61" i="2"/>
  <c r="J61" i="2"/>
  <c r="M61" i="2"/>
  <c r="P61" i="2"/>
  <c r="S61" i="2"/>
  <c r="V61" i="2"/>
  <c r="Y61" i="2"/>
  <c r="AC61" i="2"/>
  <c r="AF61" i="2"/>
  <c r="AI61" i="2"/>
  <c r="AL61" i="2"/>
  <c r="AO61" i="2"/>
  <c r="D62" i="2"/>
  <c r="G62" i="2"/>
  <c r="J62" i="2"/>
  <c r="M62" i="2"/>
  <c r="P62" i="2"/>
  <c r="S62" i="2"/>
  <c r="V62" i="2"/>
  <c r="Y62" i="2"/>
  <c r="AC62" i="2"/>
  <c r="AF62" i="2"/>
  <c r="AI62" i="2"/>
  <c r="AL62" i="2"/>
  <c r="AO62" i="2"/>
  <c r="D63" i="2"/>
  <c r="G63" i="2"/>
  <c r="J63" i="2"/>
  <c r="M63" i="2"/>
  <c r="P63" i="2"/>
  <c r="S63" i="2"/>
  <c r="V63" i="2"/>
  <c r="Y63" i="2"/>
  <c r="AC63" i="2"/>
  <c r="AF63" i="2"/>
  <c r="AI63" i="2"/>
  <c r="AL63" i="2"/>
  <c r="AO63" i="2"/>
  <c r="D64" i="2"/>
  <c r="G64" i="2"/>
  <c r="J64" i="2"/>
  <c r="M64" i="2"/>
  <c r="P64" i="2"/>
  <c r="S64" i="2"/>
  <c r="V64" i="2"/>
  <c r="Y64" i="2"/>
  <c r="AC64" i="2"/>
  <c r="AF64" i="2"/>
  <c r="AI64" i="2"/>
  <c r="AL64" i="2"/>
  <c r="AO64" i="2"/>
  <c r="D65" i="2"/>
  <c r="G65" i="2"/>
  <c r="J65" i="2"/>
  <c r="M65" i="2"/>
  <c r="P65" i="2"/>
  <c r="S65" i="2"/>
  <c r="V65" i="2"/>
  <c r="Y65" i="2"/>
  <c r="AC65" i="2"/>
  <c r="AF65" i="2"/>
  <c r="AI65" i="2"/>
  <c r="AL65" i="2"/>
  <c r="AO65" i="2"/>
  <c r="D66" i="2"/>
  <c r="G66" i="2"/>
  <c r="J66" i="2"/>
  <c r="M66" i="2"/>
  <c r="P66" i="2"/>
  <c r="S66" i="2"/>
  <c r="V66" i="2"/>
  <c r="Y66" i="2"/>
  <c r="AC66" i="2"/>
  <c r="AF66" i="2"/>
  <c r="AI66" i="2"/>
  <c r="AL66" i="2"/>
  <c r="AO66" i="2"/>
  <c r="D67" i="2"/>
  <c r="G67" i="2"/>
  <c r="J67" i="2"/>
  <c r="M67" i="2"/>
  <c r="P67" i="2"/>
  <c r="S67" i="2"/>
  <c r="V67" i="2"/>
  <c r="Y67" i="2"/>
  <c r="AC67" i="2"/>
  <c r="AF67" i="2"/>
  <c r="AI67" i="2"/>
  <c r="AL67" i="2"/>
  <c r="AO67" i="2"/>
  <c r="D68" i="2"/>
  <c r="G68" i="2"/>
  <c r="J68" i="2"/>
  <c r="M68" i="2"/>
  <c r="P68" i="2"/>
  <c r="S68" i="2"/>
  <c r="V68" i="2"/>
  <c r="Y68" i="2"/>
  <c r="AC68" i="2"/>
  <c r="AF68" i="2"/>
  <c r="AI68" i="2"/>
  <c r="AL68" i="2"/>
  <c r="AO68" i="2"/>
  <c r="D69" i="2"/>
  <c r="G69" i="2"/>
  <c r="J69" i="2"/>
  <c r="M69" i="2"/>
  <c r="P69" i="2"/>
  <c r="S69" i="2"/>
  <c r="V69" i="2"/>
  <c r="Y69" i="2"/>
  <c r="AC69" i="2"/>
  <c r="AF69" i="2"/>
  <c r="AI69" i="2"/>
  <c r="AL69" i="2"/>
  <c r="AO69" i="2"/>
  <c r="D70" i="2"/>
  <c r="G70" i="2"/>
  <c r="J70" i="2"/>
  <c r="M70" i="2"/>
  <c r="P70" i="2"/>
  <c r="S70" i="2"/>
  <c r="V70" i="2"/>
  <c r="Y70" i="2"/>
  <c r="AC70" i="2"/>
  <c r="AF70" i="2"/>
  <c r="AI70" i="2"/>
  <c r="AL70" i="2"/>
  <c r="AO70" i="2"/>
  <c r="D71" i="2"/>
  <c r="G71" i="2"/>
  <c r="J71" i="2"/>
  <c r="M71" i="2"/>
  <c r="P71" i="2"/>
  <c r="S71" i="2"/>
  <c r="V71" i="2"/>
  <c r="Y71" i="2"/>
  <c r="AC71" i="2"/>
  <c r="AF71" i="2"/>
  <c r="AI71" i="2"/>
  <c r="AL71" i="2"/>
  <c r="AO71" i="2"/>
  <c r="D72" i="2"/>
  <c r="G72" i="2"/>
  <c r="J72" i="2"/>
  <c r="M72" i="2"/>
  <c r="P72" i="2"/>
  <c r="S72" i="2"/>
  <c r="V72" i="2"/>
  <c r="Y72" i="2"/>
  <c r="AC72" i="2"/>
  <c r="AF72" i="2"/>
  <c r="AI72" i="2"/>
  <c r="AL72" i="2"/>
  <c r="AO72" i="2"/>
  <c r="D73" i="2"/>
  <c r="G73" i="2"/>
  <c r="J73" i="2"/>
  <c r="M73" i="2"/>
  <c r="P73" i="2"/>
  <c r="S73" i="2"/>
  <c r="V73" i="2"/>
  <c r="Y73" i="2"/>
  <c r="AC73" i="2"/>
  <c r="AF73" i="2"/>
  <c r="AI73" i="2"/>
  <c r="AL73" i="2"/>
  <c r="AO73" i="2"/>
  <c r="D74" i="2"/>
  <c r="G74" i="2"/>
  <c r="J74" i="2"/>
  <c r="M74" i="2"/>
  <c r="P74" i="2"/>
  <c r="S74" i="2"/>
  <c r="V74" i="2"/>
  <c r="Y74" i="2"/>
  <c r="AC74" i="2"/>
  <c r="AF74" i="2"/>
  <c r="AI74" i="2"/>
  <c r="AL74" i="2"/>
  <c r="AO74" i="2"/>
  <c r="D75" i="2"/>
  <c r="G75" i="2"/>
  <c r="J75" i="2"/>
  <c r="M75" i="2"/>
  <c r="P75" i="2"/>
  <c r="S75" i="2"/>
  <c r="V75" i="2"/>
  <c r="Y75" i="2"/>
  <c r="AC75" i="2"/>
  <c r="AF75" i="2"/>
  <c r="AI75" i="2"/>
  <c r="AL75" i="2"/>
  <c r="AO75" i="2"/>
  <c r="D76" i="2"/>
  <c r="G76" i="2"/>
  <c r="J76" i="2"/>
  <c r="M76" i="2"/>
  <c r="P76" i="2"/>
  <c r="S76" i="2"/>
  <c r="V76" i="2"/>
  <c r="Y76" i="2"/>
  <c r="AC76" i="2"/>
  <c r="AF76" i="2"/>
  <c r="AI76" i="2"/>
  <c r="AL76" i="2"/>
  <c r="AO76" i="2"/>
  <c r="D77" i="2"/>
  <c r="G77" i="2"/>
  <c r="J77" i="2"/>
  <c r="M77" i="2"/>
  <c r="P77" i="2"/>
  <c r="S77" i="2"/>
  <c r="V77" i="2"/>
  <c r="Y77" i="2"/>
  <c r="AC77" i="2"/>
  <c r="AF77" i="2"/>
  <c r="AI77" i="2"/>
  <c r="AL77" i="2"/>
  <c r="AO77" i="2"/>
  <c r="D78" i="2"/>
  <c r="G78" i="2"/>
  <c r="J78" i="2"/>
  <c r="M78" i="2"/>
  <c r="P78" i="2"/>
  <c r="S78" i="2"/>
  <c r="V78" i="2"/>
  <c r="Y78" i="2"/>
  <c r="AC78" i="2"/>
  <c r="AF78" i="2"/>
  <c r="AI78" i="2"/>
  <c r="AL78" i="2"/>
  <c r="AO78" i="2"/>
  <c r="B53" i="3" l="1"/>
  <c r="C43" i="11" a="1"/>
  <c r="C43" i="11" s="1"/>
  <c r="F81" i="3"/>
  <c r="F57" i="3"/>
  <c r="G43" i="11" a="1"/>
  <c r="G43" i="11" s="1"/>
  <c r="J61" i="3"/>
  <c r="J85" i="3" s="1"/>
  <c r="K43" i="11" a="1"/>
  <c r="K43" i="11" s="1"/>
  <c r="N65" i="3"/>
  <c r="O43" i="11" a="1"/>
  <c r="O43" i="11" s="1"/>
  <c r="R69" i="3"/>
  <c r="S43" i="11" a="1"/>
  <c r="S43" i="11" s="1"/>
  <c r="C54" i="3"/>
  <c r="D43" i="11" a="1"/>
  <c r="D43" i="11" s="1"/>
  <c r="G58" i="3"/>
  <c r="G82" i="3" s="1"/>
  <c r="H43" i="11" a="1"/>
  <c r="H43" i="11" s="1"/>
  <c r="K62" i="3"/>
  <c r="L43" i="11" a="1"/>
  <c r="L43" i="11" s="1"/>
  <c r="O66" i="3"/>
  <c r="O90" i="3"/>
  <c r="P43" i="11" a="1"/>
  <c r="P43" i="11" s="1"/>
  <c r="S70" i="3"/>
  <c r="T43" i="11" a="1"/>
  <c r="T43" i="11" s="1"/>
  <c r="D55" i="3"/>
  <c r="E43" i="11" a="1"/>
  <c r="E43" i="11" s="1"/>
  <c r="H59" i="3"/>
  <c r="I43" i="11" a="1"/>
  <c r="I43" i="11" s="1"/>
  <c r="L63" i="3"/>
  <c r="M43" i="11" a="1"/>
  <c r="M43" i="11" s="1"/>
  <c r="P91" i="3"/>
  <c r="P67" i="3"/>
  <c r="Q43" i="11" a="1"/>
  <c r="Q43" i="11" s="1"/>
  <c r="T71" i="3"/>
  <c r="T72" i="3" s="1"/>
  <c r="T96" i="3" s="1"/>
  <c r="U43" i="11" a="1"/>
  <c r="U43" i="11" s="1"/>
  <c r="E56" i="3"/>
  <c r="F43" i="11" a="1"/>
  <c r="F43" i="11" s="1"/>
  <c r="I60" i="3"/>
  <c r="J43" i="11" a="1"/>
  <c r="J43" i="11" s="1"/>
  <c r="M88" i="3"/>
  <c r="M64" i="3"/>
  <c r="N43" i="11" a="1"/>
  <c r="N43" i="11" s="1"/>
  <c r="Q68" i="3"/>
  <c r="R43" i="11" a="1"/>
  <c r="R43" i="11" s="1"/>
  <c r="U72" i="3"/>
  <c r="U96" i="3" s="1"/>
  <c r="V43" i="11" a="1"/>
  <c r="V43" i="11" s="1"/>
  <c r="V43" i="9" l="1" a="1"/>
  <c r="V43" i="9" s="1"/>
  <c r="V43" i="12" a="1"/>
  <c r="V43" i="12" s="1"/>
  <c r="Q70" i="3"/>
  <c r="Q94" i="3" s="1"/>
  <c r="Q72" i="3"/>
  <c r="Q96" i="3" s="1"/>
  <c r="Q69" i="3"/>
  <c r="Q93" i="3" s="1"/>
  <c r="Q71" i="3"/>
  <c r="Q95" i="3" s="1"/>
  <c r="D72" i="3"/>
  <c r="D96" i="3" s="1"/>
  <c r="D68" i="3"/>
  <c r="D92" i="3" s="1"/>
  <c r="D64" i="3"/>
  <c r="D88" i="3" s="1"/>
  <c r="D60" i="3"/>
  <c r="D84" i="3" s="1"/>
  <c r="D56" i="3"/>
  <c r="D80" i="3" s="1"/>
  <c r="D71" i="3"/>
  <c r="D95" i="3" s="1"/>
  <c r="D67" i="3"/>
  <c r="D91" i="3" s="1"/>
  <c r="D63" i="3"/>
  <c r="D87" i="3" s="1"/>
  <c r="D59" i="3"/>
  <c r="D83" i="3" s="1"/>
  <c r="D70" i="3"/>
  <c r="D94" i="3" s="1"/>
  <c r="D62" i="3"/>
  <c r="D86" i="3" s="1"/>
  <c r="D58" i="3"/>
  <c r="D82" i="3" s="1"/>
  <c r="D57" i="3"/>
  <c r="D81" i="3" s="1"/>
  <c r="D69" i="3"/>
  <c r="D93" i="3" s="1"/>
  <c r="D61" i="3"/>
  <c r="D85" i="3" s="1"/>
  <c r="D66" i="3"/>
  <c r="D90" i="3" s="1"/>
  <c r="D65" i="3"/>
  <c r="D89" i="3" s="1"/>
  <c r="S72" i="3"/>
  <c r="S96" i="3" s="1"/>
  <c r="S71" i="3"/>
  <c r="S95" i="3" s="1"/>
  <c r="Q92" i="3"/>
  <c r="E72" i="3"/>
  <c r="E96" i="3" s="1"/>
  <c r="E68" i="3"/>
  <c r="E92" i="3" s="1"/>
  <c r="E64" i="3"/>
  <c r="E88" i="3" s="1"/>
  <c r="E60" i="3"/>
  <c r="E84" i="3" s="1"/>
  <c r="E71" i="3"/>
  <c r="E95" i="3" s="1"/>
  <c r="E67" i="3"/>
  <c r="E91" i="3" s="1"/>
  <c r="E63" i="3"/>
  <c r="E87" i="3" s="1"/>
  <c r="E59" i="3"/>
  <c r="E83" i="3" s="1"/>
  <c r="E70" i="3"/>
  <c r="E94" i="3" s="1"/>
  <c r="E62" i="3"/>
  <c r="E86" i="3" s="1"/>
  <c r="E58" i="3"/>
  <c r="E82" i="3" s="1"/>
  <c r="E57" i="3"/>
  <c r="E81" i="3" s="1"/>
  <c r="E69" i="3"/>
  <c r="E93" i="3" s="1"/>
  <c r="E61" i="3"/>
  <c r="E85" i="3" s="1"/>
  <c r="E66" i="3"/>
  <c r="E90" i="3" s="1"/>
  <c r="E65" i="3"/>
  <c r="E89" i="3" s="1"/>
  <c r="T95" i="3"/>
  <c r="H70" i="3"/>
  <c r="H94" i="3" s="1"/>
  <c r="H66" i="3"/>
  <c r="H90" i="3" s="1"/>
  <c r="H62" i="3"/>
  <c r="H86" i="3" s="1"/>
  <c r="H69" i="3"/>
  <c r="H93" i="3" s="1"/>
  <c r="H65" i="3"/>
  <c r="H89" i="3" s="1"/>
  <c r="H61" i="3"/>
  <c r="H85" i="3" s="1"/>
  <c r="H68" i="3"/>
  <c r="H92" i="3" s="1"/>
  <c r="H60" i="3"/>
  <c r="H84" i="3" s="1"/>
  <c r="H64" i="3"/>
  <c r="H88" i="3" s="1"/>
  <c r="H71" i="3"/>
  <c r="H95" i="3" s="1"/>
  <c r="H63" i="3"/>
  <c r="H87" i="3" s="1"/>
  <c r="H67" i="3"/>
  <c r="H91" i="3" s="1"/>
  <c r="H72" i="3"/>
  <c r="H96" i="3" s="1"/>
  <c r="K69" i="3"/>
  <c r="K93" i="3" s="1"/>
  <c r="K65" i="3"/>
  <c r="K89" i="3" s="1"/>
  <c r="K67" i="3"/>
  <c r="K91" i="3" s="1"/>
  <c r="K63" i="3"/>
  <c r="K87" i="3" s="1"/>
  <c r="K72" i="3"/>
  <c r="K96" i="3" s="1"/>
  <c r="K68" i="3"/>
  <c r="K92" i="3" s="1"/>
  <c r="K64" i="3"/>
  <c r="K88" i="3" s="1"/>
  <c r="K71" i="3"/>
  <c r="K95" i="3" s="1"/>
  <c r="K70" i="3"/>
  <c r="K94" i="3" s="1"/>
  <c r="K66" i="3"/>
  <c r="K90" i="3" s="1"/>
  <c r="N69" i="3"/>
  <c r="N93" i="3" s="1"/>
  <c r="N71" i="3"/>
  <c r="N95" i="3" s="1"/>
  <c r="N72" i="3"/>
  <c r="N96" i="3" s="1"/>
  <c r="N68" i="3"/>
  <c r="N92" i="3" s="1"/>
  <c r="N67" i="3"/>
  <c r="N91" i="3" s="1"/>
  <c r="N70" i="3"/>
  <c r="N94" i="3" s="1"/>
  <c r="N66" i="3"/>
  <c r="N90" i="3" s="1"/>
  <c r="I70" i="3"/>
  <c r="I94" i="3" s="1"/>
  <c r="I66" i="3"/>
  <c r="I90" i="3" s="1"/>
  <c r="I62" i="3"/>
  <c r="I86" i="3" s="1"/>
  <c r="I69" i="3"/>
  <c r="I93" i="3" s="1"/>
  <c r="I65" i="3"/>
  <c r="I89" i="3" s="1"/>
  <c r="I61" i="3"/>
  <c r="I85" i="3" s="1"/>
  <c r="I72" i="3"/>
  <c r="I96" i="3" s="1"/>
  <c r="I64" i="3"/>
  <c r="I88" i="3" s="1"/>
  <c r="I68" i="3"/>
  <c r="I92" i="3" s="1"/>
  <c r="I71" i="3"/>
  <c r="I95" i="3" s="1"/>
  <c r="I63" i="3"/>
  <c r="I87" i="3" s="1"/>
  <c r="I67" i="3"/>
  <c r="I91" i="3" s="1"/>
  <c r="E80" i="3"/>
  <c r="L72" i="3"/>
  <c r="L96" i="3" s="1"/>
  <c r="L68" i="3"/>
  <c r="L92" i="3" s="1"/>
  <c r="L64" i="3"/>
  <c r="L88" i="3" s="1"/>
  <c r="L70" i="3"/>
  <c r="L94" i="3" s="1"/>
  <c r="L71" i="3"/>
  <c r="L95" i="3" s="1"/>
  <c r="L67" i="3"/>
  <c r="L91" i="3" s="1"/>
  <c r="L66" i="3"/>
  <c r="L90" i="3" s="1"/>
  <c r="L69" i="3"/>
  <c r="L93" i="3" s="1"/>
  <c r="L65" i="3"/>
  <c r="L89" i="3" s="1"/>
  <c r="H83" i="3"/>
  <c r="K86" i="3"/>
  <c r="R71" i="3"/>
  <c r="R95" i="3" s="1"/>
  <c r="R70" i="3"/>
  <c r="R94" i="3" s="1"/>
  <c r="R72" i="3"/>
  <c r="R96" i="3" s="1"/>
  <c r="N89" i="3"/>
  <c r="B71" i="3"/>
  <c r="B95" i="3" s="1"/>
  <c r="B67" i="3"/>
  <c r="B91" i="3" s="1"/>
  <c r="B63" i="3"/>
  <c r="B87" i="3" s="1"/>
  <c r="B59" i="3"/>
  <c r="B83" i="3" s="1"/>
  <c r="B55" i="3"/>
  <c r="B79" i="3" s="1"/>
  <c r="B70" i="3"/>
  <c r="B94" i="3" s="1"/>
  <c r="B66" i="3"/>
  <c r="B90" i="3" s="1"/>
  <c r="B62" i="3"/>
  <c r="B86" i="3" s="1"/>
  <c r="B58" i="3"/>
  <c r="B82" i="3" s="1"/>
  <c r="B54" i="3"/>
  <c r="B78" i="3" s="1"/>
  <c r="B65" i="3"/>
  <c r="B89" i="3" s="1"/>
  <c r="B57" i="3"/>
  <c r="B81" i="3" s="1"/>
  <c r="B61" i="3"/>
  <c r="B85" i="3" s="1"/>
  <c r="B60" i="3"/>
  <c r="B84" i="3" s="1"/>
  <c r="B72" i="3"/>
  <c r="B96" i="3" s="1"/>
  <c r="B64" i="3"/>
  <c r="B88" i="3" s="1"/>
  <c r="B56" i="3"/>
  <c r="B80" i="3" s="1"/>
  <c r="B69" i="3"/>
  <c r="B93" i="3" s="1"/>
  <c r="B68" i="3"/>
  <c r="B92" i="3" s="1"/>
  <c r="G71" i="3"/>
  <c r="G95" i="3" s="1"/>
  <c r="G67" i="3"/>
  <c r="G91" i="3" s="1"/>
  <c r="G63" i="3"/>
  <c r="G87" i="3" s="1"/>
  <c r="G59" i="3"/>
  <c r="G83" i="3" s="1"/>
  <c r="H43" i="9" s="1" a="1"/>
  <c r="H43" i="9" s="1"/>
  <c r="G70" i="3"/>
  <c r="G94" i="3" s="1"/>
  <c r="G66" i="3"/>
  <c r="G90" i="3" s="1"/>
  <c r="G62" i="3"/>
  <c r="G86" i="3" s="1"/>
  <c r="G65" i="3"/>
  <c r="G89" i="3" s="1"/>
  <c r="G61" i="3"/>
  <c r="G85" i="3" s="1"/>
  <c r="G60" i="3"/>
  <c r="G84" i="3" s="1"/>
  <c r="G72" i="3"/>
  <c r="G96" i="3" s="1"/>
  <c r="G64" i="3"/>
  <c r="G88" i="3" s="1"/>
  <c r="G69" i="3"/>
  <c r="G93" i="3" s="1"/>
  <c r="G68" i="3"/>
  <c r="G92" i="3" s="1"/>
  <c r="C69" i="3"/>
  <c r="C93" i="3" s="1"/>
  <c r="C65" i="3"/>
  <c r="C89" i="3" s="1"/>
  <c r="C61" i="3"/>
  <c r="C85" i="3" s="1"/>
  <c r="C57" i="3"/>
  <c r="C81" i="3" s="1"/>
  <c r="C72" i="3"/>
  <c r="C96" i="3" s="1"/>
  <c r="C68" i="3"/>
  <c r="C92" i="3" s="1"/>
  <c r="C64" i="3"/>
  <c r="C88" i="3" s="1"/>
  <c r="C60" i="3"/>
  <c r="C84" i="3" s="1"/>
  <c r="C56" i="3"/>
  <c r="C80" i="3" s="1"/>
  <c r="C71" i="3"/>
  <c r="C95" i="3" s="1"/>
  <c r="C63" i="3"/>
  <c r="C87" i="3" s="1"/>
  <c r="C55" i="3"/>
  <c r="C79" i="3" s="1"/>
  <c r="C59" i="3"/>
  <c r="C83" i="3" s="1"/>
  <c r="C58" i="3"/>
  <c r="C82" i="3" s="1"/>
  <c r="C70" i="3"/>
  <c r="C94" i="3" s="1"/>
  <c r="C62" i="3"/>
  <c r="C86" i="3" s="1"/>
  <c r="C67" i="3"/>
  <c r="C91" i="3" s="1"/>
  <c r="C66" i="3"/>
  <c r="C90" i="3" s="1"/>
  <c r="J71" i="3"/>
  <c r="J95" i="3" s="1"/>
  <c r="J67" i="3"/>
  <c r="J91" i="3" s="1"/>
  <c r="J62" i="3"/>
  <c r="J86" i="3" s="1"/>
  <c r="K43" i="12" s="1" a="1"/>
  <c r="K43" i="12" s="1"/>
  <c r="J65" i="3"/>
  <c r="J89" i="3" s="1"/>
  <c r="J70" i="3"/>
  <c r="J94" i="3" s="1"/>
  <c r="J66" i="3"/>
  <c r="J90" i="3" s="1"/>
  <c r="J63" i="3"/>
  <c r="J87" i="3" s="1"/>
  <c r="J69" i="3"/>
  <c r="J93" i="3" s="1"/>
  <c r="J64" i="3"/>
  <c r="J88" i="3" s="1"/>
  <c r="J68" i="3"/>
  <c r="J92" i="3" s="1"/>
  <c r="J72" i="3"/>
  <c r="J96" i="3" s="1"/>
  <c r="D79" i="3"/>
  <c r="C48" i="11" a="1"/>
  <c r="C48" i="11" s="1"/>
  <c r="E48" i="11" s="1"/>
  <c r="M72" i="3"/>
  <c r="M96" i="3" s="1"/>
  <c r="M68" i="3"/>
  <c r="M92" i="3" s="1"/>
  <c r="M70" i="3"/>
  <c r="M94" i="3" s="1"/>
  <c r="M71" i="3"/>
  <c r="M95" i="3" s="1"/>
  <c r="M67" i="3"/>
  <c r="M91" i="3" s="1"/>
  <c r="M66" i="3"/>
  <c r="M90" i="3" s="1"/>
  <c r="M69" i="3"/>
  <c r="M93" i="3" s="1"/>
  <c r="M65" i="3"/>
  <c r="M89" i="3" s="1"/>
  <c r="N43" i="9" s="1" a="1"/>
  <c r="N43" i="9" s="1"/>
  <c r="I84" i="3"/>
  <c r="P70" i="3"/>
  <c r="P94" i="3" s="1"/>
  <c r="P68" i="3"/>
  <c r="P92" i="3" s="1"/>
  <c r="Q43" i="12" s="1" a="1"/>
  <c r="Q43" i="12" s="1"/>
  <c r="P69" i="3"/>
  <c r="P93" i="3" s="1"/>
  <c r="P72" i="3"/>
  <c r="P96" i="3" s="1"/>
  <c r="P71" i="3"/>
  <c r="P95" i="3" s="1"/>
  <c r="L87" i="3"/>
  <c r="S94" i="3"/>
  <c r="O71" i="3"/>
  <c r="O95" i="3" s="1"/>
  <c r="O67" i="3"/>
  <c r="O91" i="3" s="1"/>
  <c r="P43" i="9" s="1" a="1"/>
  <c r="P43" i="9" s="1"/>
  <c r="O70" i="3"/>
  <c r="O94" i="3" s="1"/>
  <c r="O69" i="3"/>
  <c r="O93" i="3" s="1"/>
  <c r="O72" i="3"/>
  <c r="O96" i="3" s="1"/>
  <c r="O68" i="3"/>
  <c r="O92" i="3" s="1"/>
  <c r="C78" i="3"/>
  <c r="R93" i="3"/>
  <c r="F69" i="3"/>
  <c r="F93" i="3" s="1"/>
  <c r="F65" i="3"/>
  <c r="F89" i="3" s="1"/>
  <c r="F61" i="3"/>
  <c r="F85" i="3" s="1"/>
  <c r="F72" i="3"/>
  <c r="F96" i="3" s="1"/>
  <c r="F68" i="3"/>
  <c r="F92" i="3" s="1"/>
  <c r="F64" i="3"/>
  <c r="F88" i="3" s="1"/>
  <c r="F60" i="3"/>
  <c r="F84" i="3" s="1"/>
  <c r="F71" i="3"/>
  <c r="F95" i="3" s="1"/>
  <c r="F63" i="3"/>
  <c r="F87" i="3" s="1"/>
  <c r="F59" i="3"/>
  <c r="F83" i="3" s="1"/>
  <c r="F58" i="3"/>
  <c r="F82" i="3" s="1"/>
  <c r="G43" i="9" s="1" a="1"/>
  <c r="G43" i="9" s="1"/>
  <c r="F70" i="3"/>
  <c r="F94" i="3" s="1"/>
  <c r="F62" i="3"/>
  <c r="F86" i="3" s="1"/>
  <c r="F67" i="3"/>
  <c r="F91" i="3" s="1"/>
  <c r="F66" i="3"/>
  <c r="F90" i="3" s="1"/>
  <c r="B77" i="3"/>
  <c r="E43" i="12" l="1" a="1"/>
  <c r="E43" i="12" s="1"/>
  <c r="E43" i="9" a="1"/>
  <c r="E43" i="9" s="1"/>
  <c r="P43" i="12" a="1"/>
  <c r="P43" i="12" s="1"/>
  <c r="F43" i="9" a="1"/>
  <c r="F43" i="9" s="1"/>
  <c r="F43" i="12" a="1"/>
  <c r="F43" i="12" s="1"/>
  <c r="R43" i="9" a="1"/>
  <c r="R43" i="9" s="1"/>
  <c r="R43" i="12" a="1"/>
  <c r="R43" i="12" s="1"/>
  <c r="G43" i="12" a="1"/>
  <c r="G43" i="12" s="1"/>
  <c r="N43" i="12" a="1"/>
  <c r="N43" i="12" s="1"/>
  <c r="K43" i="9" a="1"/>
  <c r="K43" i="9" s="1"/>
  <c r="D43" i="9" a="1"/>
  <c r="D43" i="9" s="1"/>
  <c r="D43" i="12" a="1"/>
  <c r="D43" i="12" s="1"/>
  <c r="M43" i="12" a="1"/>
  <c r="M43" i="12" s="1"/>
  <c r="M43" i="9" a="1"/>
  <c r="M43" i="9" s="1"/>
  <c r="J43" i="9" a="1"/>
  <c r="J43" i="9" s="1"/>
  <c r="J43" i="12" a="1"/>
  <c r="J43" i="12" s="1"/>
  <c r="I43" i="12" a="1"/>
  <c r="I43" i="12" s="1"/>
  <c r="I43" i="9" a="1"/>
  <c r="I43" i="9" s="1"/>
  <c r="Q43" i="9" a="1"/>
  <c r="Q43" i="9" s="1"/>
  <c r="H43" i="12" a="1"/>
  <c r="H43" i="12" s="1"/>
  <c r="C43" i="12" a="1"/>
  <c r="C43" i="12" s="1"/>
  <c r="C43" i="9" a="1"/>
  <c r="C43" i="9" s="1"/>
  <c r="S43" i="12" a="1"/>
  <c r="S43" i="12" s="1"/>
  <c r="S43" i="9" a="1"/>
  <c r="S43" i="9" s="1"/>
  <c r="T43" i="9" a="1"/>
  <c r="T43" i="9" s="1"/>
  <c r="T43" i="12" a="1"/>
  <c r="T43" i="12" s="1"/>
  <c r="O43" i="12" a="1"/>
  <c r="O43" i="12" s="1"/>
  <c r="O43" i="9" a="1"/>
  <c r="O43" i="9" s="1"/>
  <c r="L43" i="9" a="1"/>
  <c r="L43" i="9" s="1"/>
  <c r="L43" i="12" a="1"/>
  <c r="L43" i="12" s="1"/>
  <c r="U43" i="12" a="1"/>
  <c r="U43" i="12" s="1"/>
  <c r="U43" i="9" a="1"/>
  <c r="U43" i="9" s="1"/>
  <c r="C48" i="12" l="1" a="1"/>
  <c r="C48" i="12" s="1"/>
  <c r="E48" i="12" s="1"/>
  <c r="C48" i="9" a="1"/>
  <c r="C48" i="9" s="1"/>
  <c r="E48" i="9" s="1"/>
  <c r="I5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<sst xmlns="http://schemas.openxmlformats.org/spreadsheetml/2006/main" count="659" uniqueCount="131">
  <si>
    <t>Domestic (U.S.) Stocks (A):</t>
  </si>
  <si>
    <t>Large-Cap Fund:</t>
  </si>
  <si>
    <t>Mid-Cap Fund:</t>
  </si>
  <si>
    <t>Small-Cap Fund:</t>
  </si>
  <si>
    <t>Growth Fund:</t>
  </si>
  <si>
    <t>Value Fund:</t>
  </si>
  <si>
    <t>Income Fund:</t>
  </si>
  <si>
    <t>Consumer Discretionary Fund:</t>
  </si>
  <si>
    <t>Healthcare Fund:</t>
  </si>
  <si>
    <t>International Stocks (B):</t>
  </si>
  <si>
    <t>International Developed Fund:</t>
  </si>
  <si>
    <t>International Developing Fund:</t>
  </si>
  <si>
    <t>International Growth Fund:</t>
  </si>
  <si>
    <t>International Value Fund:</t>
  </si>
  <si>
    <t>International Income Fund:</t>
  </si>
  <si>
    <t>Bonds (C):</t>
  </si>
  <si>
    <t>Domestic Investment Grade:</t>
  </si>
  <si>
    <t>Domestic Speculative Grade:</t>
  </si>
  <si>
    <t>International Investment Grade:</t>
  </si>
  <si>
    <t>International Speculative  Grade:</t>
  </si>
  <si>
    <t>Commodities (D):</t>
  </si>
  <si>
    <t>Basket of 3 Oil/Gas Stocks</t>
  </si>
  <si>
    <t>Basket of 3 Timber Stocks</t>
  </si>
  <si>
    <t>Domestic REIT:</t>
  </si>
  <si>
    <t>Vangaurd Total Stock Market ETF (VTI)</t>
  </si>
  <si>
    <t>Vangaurd Mid-Cap ETF (VO)</t>
  </si>
  <si>
    <t>Vanguard Small-Cap ETF (VB)</t>
  </si>
  <si>
    <t>Vangaurd US Growth Fund (VWUSX)</t>
  </si>
  <si>
    <t>Vanguard High Dividend Yield ETF (VYM)</t>
  </si>
  <si>
    <t>Vanguard Consumer Discretionary ETF (VCR)</t>
  </si>
  <si>
    <t>Vanguard Health Care ETF (VHT)</t>
  </si>
  <si>
    <t>Schwab International Equity ETF(SCHF)</t>
  </si>
  <si>
    <t>Vanguard FTSE Emerging Markets ETF (VWO)</t>
  </si>
  <si>
    <t>iShares MSCI EAFE Growth ETF (EFG)</t>
  </si>
  <si>
    <t>iShares MSCI Intl Vakue Factor ETF (IVLU)</t>
  </si>
  <si>
    <t>Vangaurd International High Dividend Yield ETF (VYMI)</t>
  </si>
  <si>
    <t>Fidelity Investment Grade Bond Fund (FBNDX)</t>
  </si>
  <si>
    <t>Vangaurd High-Yield Corporate Fund Investor Shares (VWEHX)</t>
  </si>
  <si>
    <t>Invesco International Corporate Bond ETF (PICB)</t>
  </si>
  <si>
    <t>iShares International High Yield Bond ETF (HYXU)</t>
  </si>
  <si>
    <t>ExxonMobil (XOM), Chevron (CVX), ConocoPhillips (COP)</t>
  </si>
  <si>
    <t>Store Capital Corporation (STOR)</t>
  </si>
  <si>
    <t>West Fraser Timber Company (WFG), Boise Cascade (BCC), Enviva Partners, LP (EVA)</t>
  </si>
  <si>
    <t>iShares MSCI USA Value factor ETF (VLUE)</t>
  </si>
  <si>
    <t>Return</t>
  </si>
  <si>
    <t>Adj Close</t>
  </si>
  <si>
    <t>GSPC</t>
  </si>
  <si>
    <t>STOR</t>
  </si>
  <si>
    <t>REIT&gt;</t>
  </si>
  <si>
    <t>EVA</t>
  </si>
  <si>
    <t>BCC</t>
  </si>
  <si>
    <t>WFG</t>
  </si>
  <si>
    <t>Average Return</t>
  </si>
  <si>
    <t>Timber Basket&gt;</t>
  </si>
  <si>
    <t>COP</t>
  </si>
  <si>
    <t>CVX</t>
  </si>
  <si>
    <t>XOM</t>
  </si>
  <si>
    <t>OIL BASKET&gt;</t>
  </si>
  <si>
    <t>Group D</t>
  </si>
  <si>
    <t>HYXU</t>
  </si>
  <si>
    <t>PICB</t>
  </si>
  <si>
    <t>VWEHX</t>
  </si>
  <si>
    <t>FBNDX</t>
  </si>
  <si>
    <t>Group C</t>
  </si>
  <si>
    <t>VYMI</t>
  </si>
  <si>
    <t>IVLU</t>
  </si>
  <si>
    <t>EFG</t>
  </si>
  <si>
    <t>VWO</t>
  </si>
  <si>
    <t>SCHF</t>
  </si>
  <si>
    <t>Group B</t>
  </si>
  <si>
    <t>VHT</t>
  </si>
  <si>
    <t>VCR</t>
  </si>
  <si>
    <t>VYM</t>
  </si>
  <si>
    <t>VLUE</t>
  </si>
  <si>
    <t>VWUSX</t>
  </si>
  <si>
    <t>VB</t>
  </si>
  <si>
    <t>VO</t>
  </si>
  <si>
    <t>VTI</t>
  </si>
  <si>
    <t>Group A</t>
  </si>
  <si>
    <t>Timber Basket</t>
  </si>
  <si>
    <t>Oil Basket</t>
  </si>
  <si>
    <t>Beta Coefficient</t>
  </si>
  <si>
    <t>Annualized data 'S'</t>
  </si>
  <si>
    <t>Shrinkage target 'F'</t>
  </si>
  <si>
    <t>Weights</t>
  </si>
  <si>
    <t>Working</t>
  </si>
  <si>
    <t>Sum Weight</t>
  </si>
  <si>
    <t>Risk</t>
  </si>
  <si>
    <t>Min(risk)</t>
  </si>
  <si>
    <t>Min(return)</t>
  </si>
  <si>
    <t>Risk(variance)</t>
  </si>
  <si>
    <t>Risk (St.dev)</t>
  </si>
  <si>
    <t>Actual</t>
  </si>
  <si>
    <t>Desired (Target)</t>
  </si>
  <si>
    <t>Max</t>
  </si>
  <si>
    <t>Fund</t>
  </si>
  <si>
    <t>Class Weight</t>
  </si>
  <si>
    <t>Beta</t>
  </si>
  <si>
    <t>Returns</t>
  </si>
  <si>
    <t xml:space="preserve">Ticker </t>
  </si>
  <si>
    <t>Expected return</t>
  </si>
  <si>
    <t>Class Constraints</t>
  </si>
  <si>
    <t>Class A</t>
  </si>
  <si>
    <t>Class B</t>
  </si>
  <si>
    <t xml:space="preserve">Class C </t>
  </si>
  <si>
    <t>Class D</t>
  </si>
  <si>
    <t>to</t>
  </si>
  <si>
    <t>MIN</t>
  </si>
  <si>
    <t>MAX</t>
  </si>
  <si>
    <t>`</t>
  </si>
  <si>
    <t>Adusted Shrunked Matrix (15/85)</t>
  </si>
  <si>
    <t>Conservative:</t>
  </si>
  <si>
    <t>Moderate:</t>
  </si>
  <si>
    <t>Aggressive:</t>
  </si>
  <si>
    <t>Investor Portfolio's</t>
  </si>
  <si>
    <t>70% VCR,10% IVLU, 20% Timber</t>
  </si>
  <si>
    <t>80.63% VTI, 10%EFG, 9.37% FBNDX</t>
  </si>
  <si>
    <t xml:space="preserve">30%VHT, 40% EFG, 30% FBNDX, </t>
  </si>
  <si>
    <r>
      <t>g</t>
    </r>
    <r>
      <rPr>
        <sz val="12"/>
        <color theme="1"/>
        <rFont val="Arial"/>
        <family val="2"/>
      </rPr>
      <t xml:space="preserve"> = </t>
    </r>
  </si>
  <si>
    <r>
      <t>l</t>
    </r>
    <r>
      <rPr>
        <sz val="12"/>
        <color theme="1"/>
        <rFont val="Arial"/>
        <family val="2"/>
      </rPr>
      <t xml:space="preserve"> =</t>
    </r>
  </si>
  <si>
    <t>Maximize</t>
  </si>
  <si>
    <r>
      <t>m</t>
    </r>
    <r>
      <rPr>
        <vertAlign val="subscript"/>
        <sz val="11"/>
        <color theme="1"/>
        <rFont val="Century Schoolbook"/>
        <family val="1"/>
      </rPr>
      <t>p</t>
    </r>
    <r>
      <rPr>
        <sz val="11"/>
        <color theme="1"/>
        <rFont val="Century Schoolbook"/>
        <family val="1"/>
      </rPr>
      <t xml:space="preserve"> – </t>
    </r>
    <r>
      <rPr>
        <sz val="11"/>
        <color theme="1"/>
        <rFont val="Symbol"/>
        <charset val="2"/>
      </rPr>
      <t>ls</t>
    </r>
    <r>
      <rPr>
        <vertAlign val="subscript"/>
        <sz val="11"/>
        <color theme="1"/>
        <rFont val="Century Schoolbook"/>
        <family val="1"/>
      </rPr>
      <t>P</t>
    </r>
    <r>
      <rPr>
        <vertAlign val="superscript"/>
        <sz val="11"/>
        <color theme="1"/>
        <rFont val="Century Schoolbook"/>
        <family val="1"/>
      </rPr>
      <t>2</t>
    </r>
  </si>
  <si>
    <t>Weight</t>
  </si>
  <si>
    <t>Conservative</t>
  </si>
  <si>
    <t>My Optimal Portfolio:</t>
  </si>
  <si>
    <t xml:space="preserve">Expected Return </t>
  </si>
  <si>
    <t>Monthly Data Covariance</t>
  </si>
  <si>
    <t>Average</t>
  </si>
  <si>
    <t>Correlation:</t>
  </si>
  <si>
    <t>Solver</t>
  </si>
  <si>
    <t>Shrunken 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</si>
</sst>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m/d/yyyy"/>
    <numFmt numFmtId="167" formatCode="0.0000E+00"/>
    <numFmt numFmtId="168" formatCode="0.000"/>
  </numFmts>
  <fonts count="15" x14ac:knownFonts="1">
    <font>
      <sz val="12"/>
      <color theme="1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2"/>
      <name val="Times New Roman"/>
      <family val="1"/>
    </font>
    <font>
      <sz val="12"/>
      <color theme="1"/>
      <name val="Segoe UI Symbol"/>
      <family val="2"/>
    </font>
    <font>
      <sz val="12"/>
      <color theme="1"/>
      <name val="Arial"/>
      <family val="2"/>
    </font>
    <font>
      <sz val="12"/>
      <color theme="1"/>
      <name val="Symbol"/>
      <charset val="2"/>
    </font>
    <font>
      <sz val="11"/>
      <color theme="1"/>
      <name val="Century Schoolbook"/>
      <family val="1"/>
    </font>
    <font>
      <sz val="11"/>
      <color theme="1"/>
      <name val="Symbol"/>
      <charset val="2"/>
    </font>
    <font>
      <vertAlign val="subscript"/>
      <sz val="11"/>
      <color theme="1"/>
      <name val="Century Schoolbook"/>
      <family val="1"/>
    </font>
    <font>
      <vertAlign val="superscript"/>
      <sz val="11"/>
      <color theme="1"/>
      <name val="Century Schoolbook"/>
      <family val="1"/>
    </font>
    <font>
      <i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4"/>
        <bgColor indexed="64"/>
      </patternFill>
    </fill>
    <fill>
      <patternFill patternType="solid">
        <fgColor theme="7"/>
        <bgColor theme="6"/>
      </patternFill>
    </fill>
    <fill>
      <patternFill patternType="solid">
        <fgColor theme="9"/>
        <bgColor theme="7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AFFBC"/>
        <bgColor indexed="64"/>
      </patternFill>
    </fill>
    <fill>
      <patternFill patternType="solid">
        <fgColor rgb="FFF5CCC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8FFCE"/>
        <bgColor indexed="64"/>
      </patternFill>
    </fill>
    <fill>
      <patternFill patternType="solid">
        <fgColor theme="4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rgb="FFFFFFFF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90">
    <xf numFmtId="0" fontId="0" fillId="0" borderId="0" xfId="0"/>
    <xf numFmtId="0" fontId="3" fillId="4" borderId="3" xfId="1" applyFont="1" applyFill="1" applyBorder="1"/>
    <xf numFmtId="0" fontId="3" fillId="3" borderId="3" xfId="1" applyFont="1" applyFill="1" applyBorder="1"/>
    <xf numFmtId="0" fontId="3" fillId="10" borderId="3" xfId="1" applyFont="1" applyFill="1" applyBorder="1"/>
    <xf numFmtId="0" fontId="3" fillId="11" borderId="3" xfId="1" applyFont="1" applyFill="1" applyBorder="1"/>
    <xf numFmtId="165" fontId="3" fillId="8" borderId="3" xfId="1" applyNumberFormat="1" applyFont="1" applyFill="1" applyBorder="1"/>
    <xf numFmtId="165" fontId="3" fillId="7" borderId="3" xfId="1" applyNumberFormat="1" applyFont="1" applyFill="1" applyBorder="1"/>
    <xf numFmtId="165" fontId="3" fillId="6" borderId="3" xfId="1" applyNumberFormat="1" applyFont="1" applyFill="1" applyBorder="1"/>
    <xf numFmtId="165" fontId="3" fillId="5" borderId="3" xfId="1" applyNumberFormat="1" applyFont="1" applyFill="1" applyBorder="1"/>
    <xf numFmtId="166" fontId="4" fillId="0" borderId="0" xfId="1" applyNumberFormat="1" applyFont="1" applyAlignment="1">
      <alignment horizontal="right"/>
    </xf>
    <xf numFmtId="0" fontId="5" fillId="17" borderId="3" xfId="2" applyFill="1" applyBorder="1"/>
    <xf numFmtId="0" fontId="5" fillId="0" borderId="0" xfId="2"/>
    <xf numFmtId="165" fontId="5" fillId="18" borderId="3" xfId="2" applyNumberFormat="1" applyFill="1" applyBorder="1"/>
    <xf numFmtId="0" fontId="5" fillId="19" borderId="3" xfId="2" applyFill="1" applyBorder="1"/>
    <xf numFmtId="0" fontId="5" fillId="18" borderId="3" xfId="2" applyFill="1" applyBorder="1"/>
    <xf numFmtId="167" fontId="5" fillId="16" borderId="3" xfId="2" applyNumberFormat="1" applyFill="1" applyBorder="1"/>
    <xf numFmtId="11" fontId="5" fillId="16" borderId="3" xfId="2" applyNumberFormat="1" applyFill="1" applyBorder="1"/>
    <xf numFmtId="165" fontId="5" fillId="15" borderId="3" xfId="2" applyNumberFormat="1" applyFill="1" applyBorder="1"/>
    <xf numFmtId="0" fontId="5" fillId="0" borderId="3" xfId="2" applyBorder="1"/>
    <xf numFmtId="165" fontId="5" fillId="19" borderId="3" xfId="2" applyNumberFormat="1" applyFill="1" applyBorder="1"/>
    <xf numFmtId="0" fontId="4" fillId="0" borderId="0" xfId="2" applyFont="1" applyFill="1" applyBorder="1"/>
    <xf numFmtId="165" fontId="4" fillId="0" borderId="0" xfId="2" applyNumberFormat="1" applyFont="1" applyFill="1" applyBorder="1"/>
    <xf numFmtId="2" fontId="4" fillId="0" borderId="0" xfId="2" applyNumberFormat="1" applyFont="1" applyFill="1" applyBorder="1"/>
    <xf numFmtId="165" fontId="6" fillId="0" borderId="0" xfId="2" applyNumberFormat="1" applyFont="1" applyFill="1" applyBorder="1"/>
    <xf numFmtId="0" fontId="5" fillId="0" borderId="0" xfId="2" applyFill="1" applyBorder="1"/>
    <xf numFmtId="0" fontId="4" fillId="12" borderId="3" xfId="2" applyFont="1" applyFill="1" applyBorder="1"/>
    <xf numFmtId="0" fontId="4" fillId="9" borderId="3" xfId="2" applyFont="1" applyFill="1" applyBorder="1"/>
    <xf numFmtId="0" fontId="4" fillId="13" borderId="3" xfId="2" applyFont="1" applyFill="1" applyBorder="1"/>
    <xf numFmtId="0" fontId="4" fillId="14" borderId="3" xfId="2" applyFont="1" applyFill="1" applyBorder="1"/>
    <xf numFmtId="0" fontId="4" fillId="14" borderId="9" xfId="2" applyFont="1" applyFill="1" applyBorder="1"/>
    <xf numFmtId="0" fontId="5" fillId="19" borderId="9" xfId="2" applyFill="1" applyBorder="1"/>
    <xf numFmtId="165" fontId="5" fillId="0" borderId="0" xfId="2" applyNumberFormat="1" applyFill="1" applyBorder="1"/>
    <xf numFmtId="165" fontId="2" fillId="21" borderId="3" xfId="1" applyNumberFormat="1" applyFont="1" applyFill="1" applyBorder="1" applyAlignment="1">
      <alignment horizontal="right"/>
    </xf>
    <xf numFmtId="0" fontId="2" fillId="20" borderId="3" xfId="1" applyFont="1" applyFill="1" applyBorder="1"/>
    <xf numFmtId="165" fontId="5" fillId="16" borderId="3" xfId="2" applyNumberFormat="1" applyFill="1" applyBorder="1"/>
    <xf numFmtId="165" fontId="1" fillId="22" borderId="3" xfId="1" applyNumberFormat="1" applyFill="1" applyBorder="1"/>
    <xf numFmtId="0" fontId="5" fillId="9" borderId="3" xfId="2" applyFill="1" applyBorder="1"/>
    <xf numFmtId="0" fontId="5" fillId="12" borderId="3" xfId="2" applyFill="1" applyBorder="1"/>
    <xf numFmtId="0" fontId="5" fillId="13" borderId="3" xfId="2" applyFill="1" applyBorder="1"/>
    <xf numFmtId="0" fontId="5" fillId="14" borderId="3" xfId="2" applyFill="1" applyBorder="1"/>
    <xf numFmtId="2" fontId="5" fillId="19" borderId="3" xfId="2" applyNumberFormat="1" applyFill="1" applyBorder="1"/>
    <xf numFmtId="2" fontId="5" fillId="18" borderId="3" xfId="2" applyNumberFormat="1" applyFill="1" applyBorder="1"/>
    <xf numFmtId="11" fontId="5" fillId="18" borderId="3" xfId="2" applyNumberFormat="1" applyFill="1" applyBorder="1"/>
    <xf numFmtId="11" fontId="5" fillId="15" borderId="3" xfId="2" applyNumberFormat="1" applyFill="1" applyBorder="1"/>
    <xf numFmtId="2" fontId="5" fillId="16" borderId="3" xfId="2" applyNumberFormat="1" applyFill="1" applyBorder="1"/>
    <xf numFmtId="165" fontId="5" fillId="19" borderId="3" xfId="2" applyNumberFormat="1" applyFill="1" applyBorder="1" applyAlignment="1">
      <alignment horizontal="center"/>
    </xf>
    <xf numFmtId="165" fontId="5" fillId="23" borderId="3" xfId="2" applyNumberFormat="1" applyFill="1" applyBorder="1"/>
    <xf numFmtId="165" fontId="5" fillId="24" borderId="3" xfId="2" applyNumberFormat="1" applyFill="1" applyBorder="1"/>
    <xf numFmtId="165" fontId="5" fillId="25" borderId="3" xfId="2" applyNumberFormat="1" applyFill="1" applyBorder="1"/>
    <xf numFmtId="165" fontId="5" fillId="21" borderId="3" xfId="2" applyNumberFormat="1" applyFill="1" applyBorder="1"/>
    <xf numFmtId="0" fontId="5" fillId="21" borderId="3" xfId="2" applyFill="1" applyBorder="1"/>
    <xf numFmtId="0" fontId="5" fillId="0" borderId="3" xfId="2" applyFill="1" applyBorder="1"/>
    <xf numFmtId="165" fontId="5" fillId="18" borderId="3" xfId="2" applyNumberFormat="1" applyFill="1" applyBorder="1" applyAlignment="1">
      <alignment horizontal="center"/>
    </xf>
    <xf numFmtId="2" fontId="5" fillId="23" borderId="3" xfId="2" applyNumberFormat="1" applyFill="1" applyBorder="1"/>
    <xf numFmtId="165" fontId="5" fillId="23" borderId="3" xfId="2" applyNumberFormat="1" applyFill="1" applyBorder="1" applyAlignment="1">
      <alignment horizontal="center"/>
    </xf>
    <xf numFmtId="2" fontId="5" fillId="25" borderId="3" xfId="2" applyNumberFormat="1" applyFill="1" applyBorder="1"/>
    <xf numFmtId="165" fontId="5" fillId="25" borderId="3" xfId="2" applyNumberFormat="1" applyFill="1" applyBorder="1" applyAlignment="1">
      <alignment horizontal="center"/>
    </xf>
    <xf numFmtId="168" fontId="5" fillId="16" borderId="3" xfId="2" applyNumberFormat="1" applyFill="1" applyBorder="1"/>
    <xf numFmtId="0" fontId="5" fillId="28" borderId="3" xfId="2" applyFill="1" applyBorder="1"/>
    <xf numFmtId="0" fontId="5" fillId="29" borderId="3" xfId="2" applyFill="1" applyBorder="1"/>
    <xf numFmtId="0" fontId="5" fillId="27" borderId="3" xfId="2" applyFill="1" applyBorder="1"/>
    <xf numFmtId="168" fontId="5" fillId="0" borderId="0" xfId="2" applyNumberFormat="1" applyFill="1" applyBorder="1"/>
    <xf numFmtId="2" fontId="5" fillId="0" borderId="0" xfId="2" applyNumberFormat="1" applyFill="1" applyBorder="1"/>
    <xf numFmtId="0" fontId="5" fillId="0" borderId="0" xfId="2" applyFill="1" applyBorder="1" applyAlignment="1"/>
    <xf numFmtId="0" fontId="7" fillId="0" borderId="0" xfId="0" applyFont="1"/>
    <xf numFmtId="0" fontId="3" fillId="0" borderId="0" xfId="0" applyFont="1"/>
    <xf numFmtId="0" fontId="9" fillId="27" borderId="3" xfId="0" applyFont="1" applyFill="1" applyBorder="1"/>
    <xf numFmtId="0" fontId="3" fillId="16" borderId="3" xfId="0" applyFont="1" applyFill="1" applyBorder="1"/>
    <xf numFmtId="0" fontId="3" fillId="27" borderId="3" xfId="0" applyFont="1" applyFill="1" applyBorder="1"/>
    <xf numFmtId="0" fontId="11" fillId="27" borderId="3" xfId="0" applyFont="1" applyFill="1" applyBorder="1"/>
    <xf numFmtId="0" fontId="5" fillId="0" borderId="3" xfId="2" applyFill="1" applyBorder="1" applyAlignment="1">
      <alignment horizontal="center"/>
    </xf>
    <xf numFmtId="0" fontId="5" fillId="28" borderId="3" xfId="2" applyFill="1" applyBorder="1" applyAlignment="1">
      <alignment horizontal="center"/>
    </xf>
    <xf numFmtId="0" fontId="5" fillId="29" borderId="3" xfId="2" applyFill="1" applyBorder="1" applyAlignment="1">
      <alignment horizontal="center"/>
    </xf>
    <xf numFmtId="2" fontId="3" fillId="16" borderId="3" xfId="0" applyNumberFormat="1" applyFont="1" applyFill="1" applyBorder="1"/>
    <xf numFmtId="9" fontId="5" fillId="16" borderId="3" xfId="2" applyNumberFormat="1" applyFill="1" applyBorder="1"/>
    <xf numFmtId="0" fontId="5" fillId="16" borderId="3" xfId="2" applyFill="1" applyBorder="1"/>
    <xf numFmtId="0" fontId="5" fillId="30" borderId="3" xfId="2" applyFill="1" applyBorder="1"/>
    <xf numFmtId="0" fontId="3" fillId="0" borderId="0" xfId="1" applyFont="1"/>
    <xf numFmtId="166" fontId="4" fillId="20" borderId="3" xfId="1" applyNumberFormat="1" applyFont="1" applyFill="1" applyBorder="1" applyAlignment="1">
      <alignment horizontal="right"/>
    </xf>
    <xf numFmtId="0" fontId="3" fillId="20" borderId="3" xfId="1" applyFont="1" applyFill="1" applyBorder="1"/>
    <xf numFmtId="0" fontId="0" fillId="20" borderId="3" xfId="0" applyFill="1" applyBorder="1" applyAlignment="1">
      <alignment horizontal="center"/>
    </xf>
    <xf numFmtId="0" fontId="3" fillId="20" borderId="3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15" borderId="0" xfId="0" applyFont="1" applyFill="1" applyBorder="1" applyAlignment="1"/>
    <xf numFmtId="0" fontId="3" fillId="0" borderId="1" xfId="0" applyFont="1" applyFill="1" applyBorder="1" applyAlignment="1"/>
    <xf numFmtId="0" fontId="3" fillId="15" borderId="1" xfId="0" applyFont="1" applyFill="1" applyBorder="1" applyAlignment="1"/>
    <xf numFmtId="0" fontId="14" fillId="0" borderId="5" xfId="0" applyFont="1" applyFill="1" applyBorder="1" applyAlignment="1">
      <alignment horizontal="center"/>
    </xf>
    <xf numFmtId="0" fontId="3" fillId="15" borderId="4" xfId="0" applyFont="1" applyFill="1" applyBorder="1" applyAlignment="1"/>
    <xf numFmtId="0" fontId="3" fillId="0" borderId="4" xfId="0" applyFont="1" applyFill="1" applyBorder="1" applyAlignment="1"/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3" fillId="15" borderId="8" xfId="0" applyFont="1" applyFill="1" applyBorder="1" applyAlignment="1"/>
    <xf numFmtId="0" fontId="14" fillId="0" borderId="10" xfId="0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"/>
    </xf>
    <xf numFmtId="0" fontId="3" fillId="15" borderId="12" xfId="0" applyFont="1" applyFill="1" applyBorder="1" applyAlignment="1"/>
    <xf numFmtId="0" fontId="3" fillId="0" borderId="10" xfId="0" applyFont="1" applyFill="1" applyBorder="1" applyAlignment="1"/>
    <xf numFmtId="0" fontId="3" fillId="0" borderId="13" xfId="0" applyFont="1" applyFill="1" applyBorder="1" applyAlignment="1"/>
    <xf numFmtId="0" fontId="3" fillId="0" borderId="14" xfId="0" applyFont="1" applyFill="1" applyBorder="1" applyAlignment="1"/>
    <xf numFmtId="0" fontId="3" fillId="0" borderId="15" xfId="0" applyFont="1" applyFill="1" applyBorder="1" applyAlignment="1"/>
    <xf numFmtId="0" fontId="3" fillId="0" borderId="16" xfId="0" applyFont="1" applyFill="1" applyBorder="1" applyAlignment="1"/>
    <xf numFmtId="0" fontId="3" fillId="15" borderId="17" xfId="0" applyFont="1" applyFill="1" applyBorder="1" applyAlignment="1"/>
    <xf numFmtId="0" fontId="3" fillId="4" borderId="20" xfId="1" applyFont="1" applyFill="1" applyBorder="1"/>
    <xf numFmtId="0" fontId="4" fillId="9" borderId="19" xfId="1" applyFont="1" applyFill="1" applyBorder="1"/>
    <xf numFmtId="0" fontId="4" fillId="9" borderId="3" xfId="1" applyFont="1" applyFill="1" applyBorder="1"/>
    <xf numFmtId="0" fontId="4" fillId="31" borderId="3" xfId="1" applyFont="1" applyFill="1" applyBorder="1"/>
    <xf numFmtId="0" fontId="3" fillId="9" borderId="3" xfId="1" applyFont="1" applyFill="1" applyBorder="1"/>
    <xf numFmtId="0" fontId="3" fillId="9" borderId="9" xfId="1" applyFont="1" applyFill="1" applyBorder="1"/>
    <xf numFmtId="0" fontId="3" fillId="3" borderId="20" xfId="1" applyFont="1" applyFill="1" applyBorder="1"/>
    <xf numFmtId="0" fontId="4" fillId="12" borderId="19" xfId="1" applyFont="1" applyFill="1" applyBorder="1"/>
    <xf numFmtId="0" fontId="4" fillId="12" borderId="3" xfId="1" applyFont="1" applyFill="1" applyBorder="1"/>
    <xf numFmtId="0" fontId="4" fillId="0" borderId="0" xfId="1" applyFont="1" applyFill="1" applyBorder="1"/>
    <xf numFmtId="166" fontId="4" fillId="32" borderId="3" xfId="1" applyNumberFormat="1" applyFont="1" applyFill="1" applyBorder="1" applyAlignment="1">
      <alignment horizontal="right"/>
    </xf>
    <xf numFmtId="0" fontId="4" fillId="32" borderId="3" xfId="1" applyFont="1" applyFill="1" applyBorder="1" applyAlignment="1">
      <alignment horizontal="right"/>
    </xf>
    <xf numFmtId="4" fontId="4" fillId="32" borderId="3" xfId="1" applyNumberFormat="1" applyFont="1" applyFill="1" applyBorder="1" applyAlignment="1">
      <alignment horizontal="right"/>
    </xf>
    <xf numFmtId="0" fontId="3" fillId="32" borderId="3" xfId="1" applyFont="1" applyFill="1" applyBorder="1"/>
    <xf numFmtId="166" fontId="4" fillId="24" borderId="21" xfId="1" applyNumberFormat="1" applyFont="1" applyFill="1" applyBorder="1" applyAlignment="1">
      <alignment horizontal="right"/>
    </xf>
    <xf numFmtId="0" fontId="4" fillId="24" borderId="21" xfId="1" applyFont="1" applyFill="1" applyBorder="1" applyAlignment="1">
      <alignment horizontal="right"/>
    </xf>
    <xf numFmtId="0" fontId="4" fillId="0" borderId="0" xfId="1" applyFont="1" applyAlignment="1">
      <alignment horizontal="right"/>
    </xf>
    <xf numFmtId="164" fontId="4" fillId="32" borderId="3" xfId="1" applyNumberFormat="1" applyFont="1" applyFill="1" applyBorder="1" applyAlignment="1">
      <alignment horizontal="right"/>
    </xf>
    <xf numFmtId="165" fontId="3" fillId="32" borderId="3" xfId="1" applyNumberFormat="1" applyFont="1" applyFill="1" applyBorder="1"/>
    <xf numFmtId="166" fontId="4" fillId="24" borderId="3" xfId="1" applyNumberFormat="1" applyFont="1" applyFill="1" applyBorder="1" applyAlignment="1">
      <alignment horizontal="right"/>
    </xf>
    <xf numFmtId="0" fontId="4" fillId="24" borderId="3" xfId="1" applyFont="1" applyFill="1" applyBorder="1" applyAlignment="1">
      <alignment horizontal="right"/>
    </xf>
    <xf numFmtId="164" fontId="4" fillId="24" borderId="3" xfId="1" applyNumberFormat="1" applyFont="1" applyFill="1" applyBorder="1" applyAlignment="1">
      <alignment horizontal="right"/>
    </xf>
    <xf numFmtId="165" fontId="4" fillId="24" borderId="3" xfId="1" applyNumberFormat="1" applyFont="1" applyFill="1" applyBorder="1" applyAlignment="1">
      <alignment horizontal="right"/>
    </xf>
    <xf numFmtId="0" fontId="4" fillId="10" borderId="22" xfId="1" applyFont="1" applyFill="1" applyBorder="1"/>
    <xf numFmtId="0" fontId="4" fillId="13" borderId="3" xfId="1" applyFont="1" applyFill="1" applyBorder="1"/>
    <xf numFmtId="166" fontId="4" fillId="19" borderId="3" xfId="1" applyNumberFormat="1" applyFont="1" applyFill="1" applyBorder="1" applyAlignment="1">
      <alignment horizontal="right"/>
    </xf>
    <xf numFmtId="0" fontId="4" fillId="19" borderId="3" xfId="1" applyFont="1" applyFill="1" applyBorder="1" applyAlignment="1">
      <alignment horizontal="right"/>
    </xf>
    <xf numFmtId="0" fontId="4" fillId="0" borderId="0" xfId="1" applyFont="1"/>
    <xf numFmtId="0" fontId="4" fillId="20" borderId="3" xfId="1" applyFont="1" applyFill="1" applyBorder="1"/>
    <xf numFmtId="165" fontId="4" fillId="27" borderId="3" xfId="1" applyNumberFormat="1" applyFont="1" applyFill="1" applyBorder="1" applyAlignment="1">
      <alignment horizontal="right"/>
    </xf>
    <xf numFmtId="4" fontId="4" fillId="0" borderId="0" xfId="1" applyNumberFormat="1" applyFont="1" applyAlignment="1">
      <alignment horizontal="right"/>
    </xf>
    <xf numFmtId="165" fontId="3" fillId="0" borderId="0" xfId="1" applyNumberFormat="1" applyFont="1"/>
    <xf numFmtId="4" fontId="3" fillId="0" borderId="0" xfId="1" applyNumberFormat="1" applyFont="1"/>
    <xf numFmtId="4" fontId="4" fillId="0" borderId="0" xfId="1" applyNumberFormat="1" applyFont="1" applyBorder="1" applyAlignment="1"/>
    <xf numFmtId="165" fontId="4" fillId="22" borderId="3" xfId="1" applyNumberFormat="1" applyFont="1" applyFill="1" applyBorder="1"/>
    <xf numFmtId="165" fontId="4" fillId="16" borderId="3" xfId="2" applyNumberFormat="1" applyFont="1" applyFill="1" applyBorder="1"/>
    <xf numFmtId="164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right"/>
    </xf>
    <xf numFmtId="4" fontId="4" fillId="2" borderId="0" xfId="1" applyNumberFormat="1" applyFont="1" applyFill="1" applyAlignment="1">
      <alignment horizontal="right"/>
    </xf>
    <xf numFmtId="0" fontId="4" fillId="11" borderId="23" xfId="1" applyFont="1" applyFill="1" applyBorder="1"/>
    <xf numFmtId="0" fontId="4" fillId="14" borderId="9" xfId="1" applyFont="1" applyFill="1" applyBorder="1"/>
    <xf numFmtId="0" fontId="4" fillId="14" borderId="3" xfId="1" applyFont="1" applyFill="1" applyBorder="1"/>
    <xf numFmtId="0" fontId="4" fillId="14" borderId="18" xfId="1" applyFont="1" applyFill="1" applyBorder="1"/>
    <xf numFmtId="0" fontId="4" fillId="20" borderId="12" xfId="1" applyFont="1" applyFill="1" applyBorder="1"/>
    <xf numFmtId="0" fontId="4" fillId="20" borderId="3" xfId="1" applyFont="1" applyFill="1" applyBorder="1" applyAlignment="1">
      <alignment horizontal="right"/>
    </xf>
    <xf numFmtId="0" fontId="4" fillId="25" borderId="3" xfId="1" applyFont="1" applyFill="1" applyBorder="1"/>
    <xf numFmtId="166" fontId="4" fillId="25" borderId="3" xfId="1" applyNumberFormat="1" applyFont="1" applyFill="1" applyBorder="1" applyAlignment="1">
      <alignment horizontal="right"/>
    </xf>
    <xf numFmtId="0" fontId="4" fillId="25" borderId="3" xfId="1" applyFont="1" applyFill="1" applyBorder="1" applyAlignment="1">
      <alignment horizontal="right"/>
    </xf>
    <xf numFmtId="166" fontId="4" fillId="27" borderId="3" xfId="1" applyNumberFormat="1" applyFont="1" applyFill="1" applyBorder="1" applyAlignment="1">
      <alignment horizontal="right"/>
    </xf>
    <xf numFmtId="4" fontId="4" fillId="27" borderId="3" xfId="1" applyNumberFormat="1" applyFont="1" applyFill="1" applyBorder="1" applyAlignment="1">
      <alignment horizontal="right"/>
    </xf>
    <xf numFmtId="0" fontId="4" fillId="27" borderId="3" xfId="1" applyFont="1" applyFill="1" applyBorder="1"/>
    <xf numFmtId="164" fontId="4" fillId="19" borderId="3" xfId="1" applyNumberFormat="1" applyFont="1" applyFill="1" applyBorder="1" applyAlignment="1">
      <alignment horizontal="right"/>
    </xf>
    <xf numFmtId="165" fontId="4" fillId="19" borderId="3" xfId="1" applyNumberFormat="1" applyFont="1" applyFill="1" applyBorder="1" applyAlignment="1">
      <alignment horizontal="right"/>
    </xf>
    <xf numFmtId="164" fontId="4" fillId="25" borderId="3" xfId="1" applyNumberFormat="1" applyFont="1" applyFill="1" applyBorder="1" applyAlignment="1">
      <alignment horizontal="right"/>
    </xf>
    <xf numFmtId="165" fontId="4" fillId="25" borderId="3" xfId="1" applyNumberFormat="1" applyFont="1" applyFill="1" applyBorder="1" applyAlignment="1">
      <alignment horizontal="right"/>
    </xf>
    <xf numFmtId="165" fontId="3" fillId="27" borderId="3" xfId="1" applyNumberFormat="1" applyFont="1" applyFill="1" applyBorder="1"/>
    <xf numFmtId="4" fontId="3" fillId="27" borderId="3" xfId="1" applyNumberFormat="1" applyFont="1" applyFill="1" applyBorder="1"/>
    <xf numFmtId="0" fontId="4" fillId="27" borderId="3" xfId="1" applyFont="1" applyFill="1" applyBorder="1" applyAlignment="1">
      <alignment horizontal="right"/>
    </xf>
    <xf numFmtId="4" fontId="4" fillId="33" borderId="3" xfId="1" applyNumberFormat="1" applyFont="1" applyFill="1" applyBorder="1" applyAlignment="1">
      <alignment horizontal="right"/>
    </xf>
    <xf numFmtId="0" fontId="3" fillId="9" borderId="20" xfId="0" applyFont="1" applyFill="1" applyBorder="1"/>
    <xf numFmtId="0" fontId="3" fillId="26" borderId="21" xfId="0" applyFont="1" applyFill="1" applyBorder="1"/>
    <xf numFmtId="0" fontId="3" fillId="27" borderId="3" xfId="0" applyFont="1" applyFill="1" applyBorder="1" applyAlignment="1">
      <alignment horizontal="left"/>
    </xf>
    <xf numFmtId="0" fontId="3" fillId="26" borderId="3" xfId="0" applyFont="1" applyFill="1" applyBorder="1"/>
    <xf numFmtId="0" fontId="3" fillId="27" borderId="9" xfId="0" applyFont="1" applyFill="1" applyBorder="1" applyAlignment="1">
      <alignment horizontal="left"/>
    </xf>
    <xf numFmtId="0" fontId="3" fillId="27" borderId="18" xfId="0" applyFont="1" applyFill="1" applyBorder="1" applyAlignment="1">
      <alignment horizontal="left"/>
    </xf>
    <xf numFmtId="0" fontId="3" fillId="27" borderId="19" xfId="0" applyFont="1" applyFill="1" applyBorder="1" applyAlignment="1">
      <alignment horizontal="left"/>
    </xf>
    <xf numFmtId="0" fontId="3" fillId="12" borderId="20" xfId="0" applyFont="1" applyFill="1" applyBorder="1"/>
    <xf numFmtId="0" fontId="3" fillId="23" borderId="21" xfId="0" applyFont="1" applyFill="1" applyBorder="1"/>
    <xf numFmtId="0" fontId="3" fillId="23" borderId="3" xfId="0" applyFont="1" applyFill="1" applyBorder="1"/>
    <xf numFmtId="0" fontId="3" fillId="13" borderId="20" xfId="0" applyFont="1" applyFill="1" applyBorder="1"/>
    <xf numFmtId="0" fontId="3" fillId="19" borderId="21" xfId="0" applyFont="1" applyFill="1" applyBorder="1"/>
    <xf numFmtId="0" fontId="3" fillId="19" borderId="3" xfId="0" applyFont="1" applyFill="1" applyBorder="1"/>
    <xf numFmtId="0" fontId="3" fillId="14" borderId="20" xfId="0" applyFont="1" applyFill="1" applyBorder="1"/>
    <xf numFmtId="0" fontId="3" fillId="25" borderId="21" xfId="0" applyFont="1" applyFill="1" applyBorder="1"/>
    <xf numFmtId="0" fontId="3" fillId="25" borderId="3" xfId="0" applyFont="1" applyFill="1" applyBorder="1"/>
    <xf numFmtId="0" fontId="3" fillId="12" borderId="3" xfId="0" applyFont="1" applyFill="1" applyBorder="1"/>
    <xf numFmtId="0" fontId="3" fillId="20" borderId="24" xfId="0" applyFont="1" applyFill="1" applyBorder="1"/>
    <xf numFmtId="0" fontId="3" fillId="20" borderId="21" xfId="0" applyFont="1" applyFill="1" applyBorder="1"/>
    <xf numFmtId="0" fontId="5" fillId="20" borderId="3" xfId="2" applyFill="1" applyBorder="1"/>
    <xf numFmtId="0" fontId="5" fillId="0" borderId="0" xfId="2" applyBorder="1"/>
    <xf numFmtId="165" fontId="5" fillId="26" borderId="9" xfId="2" applyNumberFormat="1" applyFill="1" applyBorder="1"/>
    <xf numFmtId="165" fontId="5" fillId="18" borderId="24" xfId="2" applyNumberFormat="1" applyFill="1" applyBorder="1"/>
    <xf numFmtId="0" fontId="5" fillId="0" borderId="4" xfId="2" applyFill="1" applyBorder="1"/>
    <xf numFmtId="165" fontId="5" fillId="23" borderId="24" xfId="2" applyNumberFormat="1" applyFill="1" applyBorder="1"/>
    <xf numFmtId="165" fontId="5" fillId="24" borderId="24" xfId="2" applyNumberFormat="1" applyFill="1" applyBorder="1"/>
    <xf numFmtId="165" fontId="5" fillId="25" borderId="24" xfId="2" applyNumberFormat="1" applyFill="1" applyBorder="1"/>
    <xf numFmtId="0" fontId="5" fillId="0" borderId="25" xfId="2" applyFill="1" applyBorder="1"/>
    <xf numFmtId="0" fontId="5" fillId="0" borderId="6" xfId="2" applyFill="1" applyBorder="1"/>
  </cellXfs>
  <cellStyles count="3">
    <cellStyle name="Normal" xfId="0" builtinId="0"/>
    <cellStyle name="Normal 2" xfId="1" xr:uid="{CE47D257-C9E2-1B45-BE90-942740CEFAB6}"/>
    <cellStyle name="Normal 3" xfId="2" xr:uid="{C5FF03F2-9CB1-FD4F-A24F-C6079314ED8E}"/>
  </cellStyles>
  <dxfs count="0"/>
  <tableStyles count="0" defaultTableStyle="TableStyleMedium2" defaultPivotStyle="PivotStyleLight16"/>
  <colors>
    <mruColors>
      <color rgb="FFF5CCCD"/>
      <color rgb="FFF8FFCE"/>
      <color rgb="FFFE3F48"/>
      <color rgb="FFFAFFBC"/>
      <color rgb="FFFF36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Solver!$G$48:$G$56</c:f>
              <c:numCache>
                <c:formatCode>0.000</c:formatCode>
                <c:ptCount val="9"/>
                <c:pt idx="0">
                  <c:v>0.10483440134538703</c:v>
                </c:pt>
                <c:pt idx="1">
                  <c:v>0.11997431307270325</c:v>
                </c:pt>
                <c:pt idx="2">
                  <c:v>0.13509376643122983</c:v>
                </c:pt>
                <c:pt idx="3">
                  <c:v>0.14968070129669239</c:v>
                </c:pt>
                <c:pt idx="4">
                  <c:v>0.16610477502921792</c:v>
                </c:pt>
                <c:pt idx="5">
                  <c:v>0.18261295888648726</c:v>
                </c:pt>
                <c:pt idx="6">
                  <c:v>0.20059707568225937</c:v>
                </c:pt>
                <c:pt idx="7">
                  <c:v>0.22179620389577462</c:v>
                </c:pt>
                <c:pt idx="8">
                  <c:v>0.25756701028693263</c:v>
                </c:pt>
              </c:numCache>
            </c:numRef>
          </c:xVal>
          <c:yVal>
            <c:numRef>
              <c:f>Solver!$H$48:$H$56</c:f>
              <c:numCache>
                <c:formatCode>0.000</c:formatCode>
                <c:ptCount val="9"/>
                <c:pt idx="0">
                  <c:v>4.947495897320222E-2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9.3207563539922725E-2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18-994D-92E7-5A0491B0A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44383"/>
        <c:axId val="197395327"/>
      </c:scatterChart>
      <c:valAx>
        <c:axId val="19794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5327"/>
        <c:crosses val="autoZero"/>
        <c:crossBetween val="midCat"/>
      </c:valAx>
      <c:valAx>
        <c:axId val="19739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4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'Shrunken Solver'!$G$48:$G$56</c:f>
              <c:numCache>
                <c:formatCode>0.000</c:formatCode>
                <c:ptCount val="9"/>
                <c:pt idx="0">
                  <c:v>0.13103874449747374</c:v>
                </c:pt>
                <c:pt idx="1">
                  <c:v>0.14270322154423781</c:v>
                </c:pt>
                <c:pt idx="2">
                  <c:v>0.15947944256008584</c:v>
                </c:pt>
                <c:pt idx="3">
                  <c:v>0.17255720048362383</c:v>
                </c:pt>
                <c:pt idx="4">
                  <c:v>0.18792806382915742</c:v>
                </c:pt>
                <c:pt idx="5">
                  <c:v>0.20555046431149021</c:v>
                </c:pt>
                <c:pt idx="6">
                  <c:v>0.23001990430353589</c:v>
                </c:pt>
                <c:pt idx="7">
                  <c:v>0.27687774611980209</c:v>
                </c:pt>
                <c:pt idx="8">
                  <c:v>0.30241049234089412</c:v>
                </c:pt>
              </c:numCache>
            </c:numRef>
          </c:xVal>
          <c:yVal>
            <c:numRef>
              <c:f>'Shrunken Solver'!$H$48:$H$56</c:f>
              <c:numCache>
                <c:formatCode>0.000</c:formatCode>
                <c:ptCount val="9"/>
                <c:pt idx="0">
                  <c:v>4.9467855871536799E-2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9.3207563539922697E-2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B7-2840-B454-3963D2F3C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675087"/>
        <c:axId val="195645823"/>
      </c:scatterChart>
      <c:valAx>
        <c:axId val="25267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45823"/>
        <c:crosses val="autoZero"/>
        <c:crossBetween val="midCat"/>
      </c:valAx>
      <c:valAx>
        <c:axId val="19564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7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Frontier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Solver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Solver!$G$48:$G$56</c:f>
              <c:numCache>
                <c:formatCode>0.000</c:formatCode>
                <c:ptCount val="9"/>
                <c:pt idx="0">
                  <c:v>0.10483440134538703</c:v>
                </c:pt>
                <c:pt idx="1">
                  <c:v>0.11997431307270325</c:v>
                </c:pt>
                <c:pt idx="2">
                  <c:v>0.13509376643122983</c:v>
                </c:pt>
                <c:pt idx="3">
                  <c:v>0.14968070129669239</c:v>
                </c:pt>
                <c:pt idx="4">
                  <c:v>0.16610477502921792</c:v>
                </c:pt>
                <c:pt idx="5">
                  <c:v>0.18261295888648726</c:v>
                </c:pt>
                <c:pt idx="6">
                  <c:v>0.20059707568225937</c:v>
                </c:pt>
                <c:pt idx="7">
                  <c:v>0.22179620389577462</c:v>
                </c:pt>
                <c:pt idx="8">
                  <c:v>0.25756701028693263</c:v>
                </c:pt>
              </c:numCache>
            </c:numRef>
          </c:xVal>
          <c:yVal>
            <c:numRef>
              <c:f>Solver!$H$48:$H$56</c:f>
              <c:numCache>
                <c:formatCode>0.000</c:formatCode>
                <c:ptCount val="9"/>
                <c:pt idx="0">
                  <c:v>4.947495897320222E-2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9.3207563539922725E-2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D7-A641-BEC1-479A108A1FAA}"/>
            </c:ext>
          </c:extLst>
        </c:ser>
        <c:ser>
          <c:idx val="0"/>
          <c:order val="1"/>
          <c:tx>
            <c:v>Shrunken Solver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'Shrunken Solver'!$G$48:$G$56</c:f>
              <c:numCache>
                <c:formatCode>0.000</c:formatCode>
                <c:ptCount val="9"/>
                <c:pt idx="0">
                  <c:v>0.13103874449747374</c:v>
                </c:pt>
                <c:pt idx="1">
                  <c:v>0.14270322154423781</c:v>
                </c:pt>
                <c:pt idx="2">
                  <c:v>0.15947944256008584</c:v>
                </c:pt>
                <c:pt idx="3">
                  <c:v>0.17255720048362383</c:v>
                </c:pt>
                <c:pt idx="4">
                  <c:v>0.18792806382915742</c:v>
                </c:pt>
                <c:pt idx="5">
                  <c:v>0.20555046431149021</c:v>
                </c:pt>
                <c:pt idx="6">
                  <c:v>0.23001990430353589</c:v>
                </c:pt>
                <c:pt idx="7">
                  <c:v>0.27687774611980209</c:v>
                </c:pt>
                <c:pt idx="8">
                  <c:v>0.30241049234089412</c:v>
                </c:pt>
              </c:numCache>
            </c:numRef>
          </c:xVal>
          <c:yVal>
            <c:numRef>
              <c:f>'Shrunken Solver'!$H$48:$H$56</c:f>
              <c:numCache>
                <c:formatCode>0.000</c:formatCode>
                <c:ptCount val="9"/>
                <c:pt idx="0">
                  <c:v>4.9467855871536799E-2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9.3207563539922697E-2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D7-A641-BEC1-479A108A1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812351"/>
        <c:axId val="286763183"/>
      </c:scatterChart>
      <c:valAx>
        <c:axId val="29881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63183"/>
        <c:crosses val="autoZero"/>
        <c:crossBetween val="midCat"/>
      </c:valAx>
      <c:valAx>
        <c:axId val="2867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12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104098</xdr:colOff>
      <xdr:row>45</xdr:row>
      <xdr:rowOff>62460</xdr:rowOff>
    </xdr:from>
    <xdr:to>
      <xdr:col>16</xdr:col>
      <xdr:colOff>728689</xdr:colOff>
      <xdr:row>67</xdr:row>
      <xdr:rowOff>104098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1A880-47A0-DF4B-97B7-07FB1389C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463550</xdr:colOff>
      <xdr:row>45</xdr:row>
      <xdr:rowOff>69850</xdr:rowOff>
    </xdr:from>
    <xdr:to>
      <xdr:col>16</xdr:col>
      <xdr:colOff>12700</xdr:colOff>
      <xdr:row>62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20882D-CBBC-A245-A597-FB400E78B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0.84378</cdr:x>
      <cdr:y>0.1984</cdr:y>
    </cdr:from>
    <cdr:to>
      <cdr:x>0.88078</cdr:x>
      <cdr:y>0.27054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B0C1524-0860-C248-86F9-85B42010680C}"/>
            </a:ext>
          </a:extLst>
        </cdr:cNvPr>
        <cdr:cNvCxnSpPr/>
      </cdr:nvCxnSpPr>
      <cdr:spPr>
        <a:xfrm xmlns:a="http://schemas.openxmlformats.org/drawingml/2006/main">
          <a:off x="5213350" y="628650"/>
          <a:ext cx="228600" cy="2286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0.56423</cdr:x>
      <cdr:y>0.35471</cdr:y>
    </cdr:from>
    <cdr:to>
      <cdr:x>0.59712</cdr:x>
      <cdr:y>0.41884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E088F10B-6444-074B-81ED-B24CD00989C2}"/>
            </a:ext>
          </a:extLst>
        </cdr:cNvPr>
        <cdr:cNvCxnSpPr/>
      </cdr:nvCxnSpPr>
      <cdr:spPr>
        <a:xfrm xmlns:a="http://schemas.openxmlformats.org/drawingml/2006/main">
          <a:off x="3486150" y="1123950"/>
          <a:ext cx="203200" cy="2032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0.42652</cdr:x>
      <cdr:y>0.49098</cdr:y>
    </cdr:from>
    <cdr:to>
      <cdr:x>0.45529</cdr:x>
      <cdr:y>0.5511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703BDD4A-3099-B146-8C56-8FA35EA26CE5}"/>
            </a:ext>
          </a:extLst>
        </cdr:cNvPr>
        <cdr:cNvCxnSpPr/>
      </cdr:nvCxnSpPr>
      <cdr:spPr>
        <a:xfrm xmlns:a="http://schemas.openxmlformats.org/drawingml/2006/main">
          <a:off x="2635250" y="1555750"/>
          <a:ext cx="177800" cy="190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0.39774</cdr:x>
      <cdr:y>0.53908</cdr:y>
    </cdr:from>
    <cdr:to>
      <cdr:x>0.59918</cdr:x>
      <cdr:y>0.62325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B4C0ED3E-70CA-D241-8278-2DE41A639F27}"/>
            </a:ext>
          </a:extLst>
        </cdr:cNvPr>
        <cdr:cNvSpPr txBox="1"/>
      </cdr:nvSpPr>
      <cdr:spPr>
        <a:xfrm xmlns:a="http://schemas.openxmlformats.org/drawingml/2006/main">
          <a:off x="2457450" y="1708150"/>
          <a:ext cx="12446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Conservative</a:t>
          </a:r>
        </a:p>
      </cdr:txBody>
    </cdr:sp>
  </cdr:relSizeAnchor>
  <cdr:relSizeAnchor xmlns:cdr="http://schemas.openxmlformats.org/drawingml/2006/chartDrawing">
    <cdr:from>
      <cdr:x>0.55396</cdr:x>
      <cdr:y>0.40681</cdr:y>
    </cdr:from>
    <cdr:to>
      <cdr:x>0.67934</cdr:x>
      <cdr:y>0.49098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23C4B65A-CFA0-C04D-A58B-593F31D41E41}"/>
            </a:ext>
          </a:extLst>
        </cdr:cNvPr>
        <cdr:cNvSpPr txBox="1"/>
      </cdr:nvSpPr>
      <cdr:spPr>
        <a:xfrm xmlns:a="http://schemas.openxmlformats.org/drawingml/2006/main">
          <a:off x="3422650" y="1289050"/>
          <a:ext cx="7747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Moderate</a:t>
          </a:r>
        </a:p>
      </cdr:txBody>
    </cdr:sp>
  </cdr:relSizeAnchor>
  <cdr:relSizeAnchor xmlns:cdr="http://schemas.openxmlformats.org/drawingml/2006/chartDrawing">
    <cdr:from>
      <cdr:x>0.83556</cdr:x>
      <cdr:y>0.26253</cdr:y>
    </cdr:from>
    <cdr:to>
      <cdr:x>0.97328</cdr:x>
      <cdr:y>0.33467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D0F9EB26-7600-1448-A741-2D2E5C611386}"/>
            </a:ext>
          </a:extLst>
        </cdr:cNvPr>
        <cdr:cNvSpPr txBox="1"/>
      </cdr:nvSpPr>
      <cdr:spPr>
        <a:xfrm xmlns:a="http://schemas.openxmlformats.org/drawingml/2006/main">
          <a:off x="5162550" y="831850"/>
          <a:ext cx="8509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Aggressive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13</xdr:row>
      <xdr:rowOff>165100</xdr:rowOff>
    </xdr:from>
    <xdr:to>
      <xdr:col>14</xdr:col>
      <xdr:colOff>190500</xdr:colOff>
      <xdr:row>36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FE496-9867-C546-97E3-1B3989EEA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F7B6-05FF-AF46-AC2F-A0A35239E3D4}">
  <dimension ref="B3:E30"/>
  <sheetViews>
    <sheetView workbookViewId="0">
      <selection activeCell="I16" sqref="I16"/>
    </sheetView>
  </sheetViews>
  <sheetFormatPr baseColWidth="10" defaultRowHeight="16" x14ac:dyDescent="0.2"/>
  <cols>
    <col min="1" max="1" width="10.83203125" style="65"/>
    <col min="2" max="2" width="27.83203125" style="65" customWidth="1"/>
    <col min="3" max="3" width="22.33203125" style="65" customWidth="1"/>
    <col min="4" max="4" width="22" style="65" customWidth="1"/>
    <col min="5" max="5" width="26.5" style="65" customWidth="1"/>
    <col min="6" max="16384" width="10.83203125" style="65"/>
  </cols>
  <sheetData>
    <row r="3" spans="2:5" ht="17" thickBot="1" x14ac:dyDescent="0.25"/>
    <row r="4" spans="2:5" ht="17" thickBot="1" x14ac:dyDescent="0.25">
      <c r="B4" s="161" t="s">
        <v>0</v>
      </c>
    </row>
    <row r="5" spans="2:5" x14ac:dyDescent="0.2">
      <c r="B5" s="162" t="s">
        <v>1</v>
      </c>
      <c r="C5" s="163" t="s">
        <v>24</v>
      </c>
      <c r="D5" s="163"/>
      <c r="E5" s="163"/>
    </row>
    <row r="6" spans="2:5" x14ac:dyDescent="0.2">
      <c r="B6" s="164" t="s">
        <v>2</v>
      </c>
      <c r="C6" s="163" t="s">
        <v>25</v>
      </c>
      <c r="D6" s="163"/>
      <c r="E6" s="163"/>
    </row>
    <row r="7" spans="2:5" x14ac:dyDescent="0.2">
      <c r="B7" s="164" t="s">
        <v>3</v>
      </c>
      <c r="C7" s="165" t="s">
        <v>26</v>
      </c>
      <c r="D7" s="166"/>
      <c r="E7" s="167"/>
    </row>
    <row r="8" spans="2:5" x14ac:dyDescent="0.2">
      <c r="B8" s="164" t="s">
        <v>4</v>
      </c>
      <c r="C8" s="163" t="s">
        <v>27</v>
      </c>
      <c r="D8" s="163"/>
      <c r="E8" s="163"/>
    </row>
    <row r="9" spans="2:5" x14ac:dyDescent="0.2">
      <c r="B9" s="164" t="s">
        <v>5</v>
      </c>
      <c r="C9" s="163" t="s">
        <v>43</v>
      </c>
      <c r="D9" s="163"/>
      <c r="E9" s="163"/>
    </row>
    <row r="10" spans="2:5" x14ac:dyDescent="0.2">
      <c r="B10" s="164" t="s">
        <v>6</v>
      </c>
      <c r="C10" s="163" t="s">
        <v>28</v>
      </c>
      <c r="D10" s="163"/>
      <c r="E10" s="163"/>
    </row>
    <row r="11" spans="2:5" x14ac:dyDescent="0.2">
      <c r="B11" s="164" t="s">
        <v>7</v>
      </c>
      <c r="C11" s="163" t="s">
        <v>29</v>
      </c>
      <c r="D11" s="163"/>
      <c r="E11" s="163"/>
    </row>
    <row r="12" spans="2:5" x14ac:dyDescent="0.2">
      <c r="B12" s="164" t="s">
        <v>8</v>
      </c>
      <c r="C12" s="163" t="s">
        <v>30</v>
      </c>
      <c r="D12" s="163"/>
      <c r="E12" s="163"/>
    </row>
    <row r="13" spans="2:5" ht="17" thickBot="1" x14ac:dyDescent="0.25"/>
    <row r="14" spans="2:5" ht="17" thickBot="1" x14ac:dyDescent="0.25">
      <c r="B14" s="168" t="s">
        <v>9</v>
      </c>
    </row>
    <row r="15" spans="2:5" x14ac:dyDescent="0.2">
      <c r="B15" s="169" t="s">
        <v>10</v>
      </c>
      <c r="C15" s="163" t="s">
        <v>31</v>
      </c>
      <c r="D15" s="163"/>
      <c r="E15" s="163"/>
    </row>
    <row r="16" spans="2:5" x14ac:dyDescent="0.2">
      <c r="B16" s="170" t="s">
        <v>11</v>
      </c>
      <c r="C16" s="163" t="s">
        <v>32</v>
      </c>
      <c r="D16" s="163"/>
      <c r="E16" s="163"/>
    </row>
    <row r="17" spans="2:5" x14ac:dyDescent="0.2">
      <c r="B17" s="170" t="s">
        <v>12</v>
      </c>
      <c r="C17" s="163" t="s">
        <v>33</v>
      </c>
      <c r="D17" s="163"/>
      <c r="E17" s="163"/>
    </row>
    <row r="18" spans="2:5" x14ac:dyDescent="0.2">
      <c r="B18" s="170" t="s">
        <v>13</v>
      </c>
      <c r="C18" s="163" t="s">
        <v>34</v>
      </c>
      <c r="D18" s="163"/>
      <c r="E18" s="163"/>
    </row>
    <row r="19" spans="2:5" x14ac:dyDescent="0.2">
      <c r="B19" s="170" t="s">
        <v>14</v>
      </c>
      <c r="C19" s="163" t="s">
        <v>35</v>
      </c>
      <c r="D19" s="163"/>
      <c r="E19" s="163"/>
    </row>
    <row r="20" spans="2:5" ht="17" thickBot="1" x14ac:dyDescent="0.25"/>
    <row r="21" spans="2:5" ht="17" thickBot="1" x14ac:dyDescent="0.25">
      <c r="B21" s="171" t="s">
        <v>15</v>
      </c>
    </row>
    <row r="22" spans="2:5" x14ac:dyDescent="0.2">
      <c r="B22" s="172" t="s">
        <v>16</v>
      </c>
      <c r="C22" s="163" t="s">
        <v>36</v>
      </c>
      <c r="D22" s="163"/>
      <c r="E22" s="163"/>
    </row>
    <row r="23" spans="2:5" x14ac:dyDescent="0.2">
      <c r="B23" s="173" t="s">
        <v>17</v>
      </c>
      <c r="C23" s="163" t="s">
        <v>37</v>
      </c>
      <c r="D23" s="163"/>
      <c r="E23" s="163"/>
    </row>
    <row r="24" spans="2:5" x14ac:dyDescent="0.2">
      <c r="B24" s="173" t="s">
        <v>18</v>
      </c>
      <c r="C24" s="163" t="s">
        <v>38</v>
      </c>
      <c r="D24" s="163"/>
      <c r="E24" s="163"/>
    </row>
    <row r="25" spans="2:5" x14ac:dyDescent="0.2">
      <c r="B25" s="173" t="s">
        <v>19</v>
      </c>
      <c r="C25" s="163" t="s">
        <v>39</v>
      </c>
      <c r="D25" s="163"/>
      <c r="E25" s="163"/>
    </row>
    <row r="26" spans="2:5" ht="17" thickBot="1" x14ac:dyDescent="0.25"/>
    <row r="27" spans="2:5" ht="17" thickBot="1" x14ac:dyDescent="0.25">
      <c r="B27" s="174" t="s">
        <v>20</v>
      </c>
    </row>
    <row r="28" spans="2:5" x14ac:dyDescent="0.2">
      <c r="B28" s="175" t="s">
        <v>21</v>
      </c>
      <c r="C28" s="163" t="s">
        <v>40</v>
      </c>
      <c r="D28" s="163"/>
      <c r="E28" s="163"/>
    </row>
    <row r="29" spans="2:5" x14ac:dyDescent="0.2">
      <c r="B29" s="176" t="s">
        <v>22</v>
      </c>
      <c r="C29" s="163" t="s">
        <v>42</v>
      </c>
      <c r="D29" s="163"/>
      <c r="E29" s="163"/>
    </row>
    <row r="30" spans="2:5" x14ac:dyDescent="0.2">
      <c r="B30" s="176" t="s">
        <v>23</v>
      </c>
      <c r="C30" s="163" t="s">
        <v>41</v>
      </c>
      <c r="D30" s="163"/>
      <c r="E30" s="163"/>
    </row>
  </sheetData>
  <mergeCells count="20">
    <mergeCell ref="C29:E29"/>
    <mergeCell ref="C30:E30"/>
    <mergeCell ref="C19:E19"/>
    <mergeCell ref="C22:E22"/>
    <mergeCell ref="C23:E23"/>
    <mergeCell ref="C24:E24"/>
    <mergeCell ref="C25:E25"/>
    <mergeCell ref="C28:E28"/>
    <mergeCell ref="C12:E12"/>
    <mergeCell ref="C7:E7"/>
    <mergeCell ref="C15:E15"/>
    <mergeCell ref="C16:E16"/>
    <mergeCell ref="C17:E17"/>
    <mergeCell ref="C18:E18"/>
    <mergeCell ref="C5:E5"/>
    <mergeCell ref="C6:E6"/>
    <mergeCell ref="C8:E8"/>
    <mergeCell ref="C9:E9"/>
    <mergeCell ref="C10:E10"/>
    <mergeCell ref="C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0CED-8003-FA44-8F7E-F1EFAB6214F1}">
  <sheetPr>
    <outlinePr summaryBelow="0" summaryRight="0"/>
  </sheetPr>
  <dimension ref="A1:CH118"/>
  <sheetViews>
    <sheetView zoomScale="40" zoomScaleNormal="40" workbookViewId="0">
      <selection activeCell="Z25" sqref="Z25"/>
    </sheetView>
  </sheetViews>
  <sheetFormatPr baseColWidth="10" defaultColWidth="14.5" defaultRowHeight="15.75" customHeight="1" outlineLevelRow="1" x14ac:dyDescent="0.2"/>
  <cols>
    <col min="1" max="1" width="16.83203125" style="129" customWidth="1"/>
    <col min="2" max="16384" width="14.5" style="129"/>
  </cols>
  <sheetData>
    <row r="1" spans="1:86" ht="16" x14ac:dyDescent="0.2">
      <c r="B1" s="1" t="s">
        <v>77</v>
      </c>
      <c r="C1" s="1" t="s">
        <v>76</v>
      </c>
      <c r="D1" s="1" t="s">
        <v>75</v>
      </c>
      <c r="E1" s="1" t="s">
        <v>74</v>
      </c>
      <c r="F1" s="1" t="s">
        <v>73</v>
      </c>
      <c r="G1" s="1" t="s">
        <v>72</v>
      </c>
      <c r="H1" s="1" t="s">
        <v>71</v>
      </c>
      <c r="I1" s="1" t="s">
        <v>70</v>
      </c>
      <c r="J1" s="2" t="s">
        <v>68</v>
      </c>
      <c r="K1" s="2" t="s">
        <v>67</v>
      </c>
      <c r="L1" s="2" t="s">
        <v>66</v>
      </c>
      <c r="M1" s="2" t="s">
        <v>65</v>
      </c>
      <c r="N1" s="2" t="s">
        <v>64</v>
      </c>
      <c r="O1" s="3" t="s">
        <v>62</v>
      </c>
      <c r="P1" s="3" t="s">
        <v>61</v>
      </c>
      <c r="Q1" s="3" t="s">
        <v>60</v>
      </c>
      <c r="R1" s="3" t="s">
        <v>59</v>
      </c>
      <c r="S1" s="4" t="s">
        <v>80</v>
      </c>
      <c r="T1" s="4" t="s">
        <v>79</v>
      </c>
      <c r="U1" s="4" t="s">
        <v>47</v>
      </c>
      <c r="W1" s="130" t="s">
        <v>46</v>
      </c>
      <c r="Y1" s="118"/>
    </row>
    <row r="2" spans="1:86" ht="16" x14ac:dyDescent="0.2">
      <c r="A2" s="9"/>
      <c r="B2" s="5">
        <v>2.013564167484019E-2</v>
      </c>
      <c r="C2" s="5">
        <v>2.3392871692271392E-2</v>
      </c>
      <c r="D2" s="5">
        <v>2.1898284278740424E-2</v>
      </c>
      <c r="E2" s="5">
        <v>2.6663219709673881E-2</v>
      </c>
      <c r="F2" s="5">
        <v>-5.9279467113460861E-3</v>
      </c>
      <c r="G2" s="5">
        <v>3.5551052506718001E-2</v>
      </c>
      <c r="H2" s="5">
        <v>2.3273062168987967E-2</v>
      </c>
      <c r="I2" s="5">
        <v>6.527319652524223E-2</v>
      </c>
      <c r="J2" s="6">
        <v>5.2099207728434852E-3</v>
      </c>
      <c r="K2" s="6">
        <v>4.8335783581300716E-2</v>
      </c>
      <c r="L2" s="6">
        <v>7.4349554466937445E-3</v>
      </c>
      <c r="M2" s="6">
        <v>-3.3727917144269234E-3</v>
      </c>
      <c r="N2" s="6">
        <v>8.8539492433403772E-3</v>
      </c>
      <c r="O2" s="7">
        <v>5.2842108199068058E-3</v>
      </c>
      <c r="P2" s="7">
        <v>-7.0507258737831837E-3</v>
      </c>
      <c r="Q2" s="7">
        <v>-1.2940664358544986E-2</v>
      </c>
      <c r="R2" s="7">
        <v>-1.7561314937973665E-2</v>
      </c>
      <c r="S2" s="8">
        <v>1.0113430765119761E-2</v>
      </c>
      <c r="T2" s="8">
        <v>-1.7080732033257742E-2</v>
      </c>
      <c r="U2" s="8">
        <v>3.203546691905889E-2</v>
      </c>
      <c r="W2" s="131">
        <v>1.7859381799140144E-2</v>
      </c>
      <c r="X2" s="132"/>
      <c r="CF2" s="118"/>
      <c r="CG2" s="118"/>
      <c r="CH2" s="118"/>
    </row>
    <row r="3" spans="1:86" ht="16" x14ac:dyDescent="0.2">
      <c r="A3" s="9"/>
      <c r="B3" s="5">
        <v>-9.1761054711402529E-2</v>
      </c>
      <c r="C3" s="5">
        <v>-9.8025633086891856E-2</v>
      </c>
      <c r="D3" s="5">
        <v>-0.111121121519608</v>
      </c>
      <c r="E3" s="5">
        <v>-9.0855570486977691E-2</v>
      </c>
      <c r="F3" s="5">
        <v>-0.11052319159627597</v>
      </c>
      <c r="G3" s="5">
        <v>-8.664754630560538E-2</v>
      </c>
      <c r="H3" s="5">
        <v>-8.8754558392168559E-2</v>
      </c>
      <c r="I3" s="5">
        <v>-9.1387838867146479E-2</v>
      </c>
      <c r="J3" s="6">
        <v>-5.4022923286427611E-2</v>
      </c>
      <c r="K3" s="6">
        <v>-3.3449906350072708E-2</v>
      </c>
      <c r="L3" s="6">
        <v>-5.0489939124240782E-2</v>
      </c>
      <c r="M3" s="6">
        <v>-6.2857087717331298E-2</v>
      </c>
      <c r="N3" s="6">
        <v>-4.1566704060379288E-2</v>
      </c>
      <c r="O3" s="7">
        <v>1.5302993520493425E-2</v>
      </c>
      <c r="P3" s="7">
        <v>-2.1294341324950856E-2</v>
      </c>
      <c r="Q3" s="7">
        <v>1.3770780711394507E-2</v>
      </c>
      <c r="R3" s="7">
        <v>9.2931442891963853E-3</v>
      </c>
      <c r="S3" s="8">
        <v>-9.5157767906625015E-2</v>
      </c>
      <c r="T3" s="8">
        <v>-8.2211878412080927E-2</v>
      </c>
      <c r="U3" s="8">
        <v>-4.4112867484118745E-2</v>
      </c>
      <c r="W3" s="131">
        <v>-9.1776955767217297E-2</v>
      </c>
      <c r="X3" s="132"/>
      <c r="Y3" s="133"/>
      <c r="CF3" s="118"/>
      <c r="CG3" s="118"/>
      <c r="CH3" s="118"/>
    </row>
    <row r="4" spans="1:86" ht="16" x14ac:dyDescent="0.2">
      <c r="A4" s="9"/>
      <c r="B4" s="5">
        <v>8.5402381100873351E-2</v>
      </c>
      <c r="C4" s="5">
        <v>0.10471827075701169</v>
      </c>
      <c r="D4" s="5">
        <v>0.11712964599857797</v>
      </c>
      <c r="E4" s="5">
        <v>9.4755476096627003E-2</v>
      </c>
      <c r="F4" s="5">
        <v>9.8387497782781441E-2</v>
      </c>
      <c r="G4" s="5">
        <v>6.1033573948521679E-2</v>
      </c>
      <c r="H4" s="5">
        <v>0.10085121658195075</v>
      </c>
      <c r="I4" s="5">
        <v>5.9340364897329592E-2</v>
      </c>
      <c r="J4" s="6">
        <v>7.1957530335474681E-2</v>
      </c>
      <c r="K4" s="6">
        <v>9.658782690288524E-2</v>
      </c>
      <c r="L4" s="6">
        <v>6.1676722474561976E-2</v>
      </c>
      <c r="M4" s="6">
        <v>8.0475471575996244E-2</v>
      </c>
      <c r="N4" s="6">
        <v>7.0375171097518854E-2</v>
      </c>
      <c r="O4" s="7">
        <v>1.5530912169783188E-2</v>
      </c>
      <c r="P4" s="7">
        <v>4.9409076645030983E-2</v>
      </c>
      <c r="Q4" s="7">
        <v>2.918282012659373E-2</v>
      </c>
      <c r="R4" s="7">
        <v>2.3395434307152789E-2</v>
      </c>
      <c r="S4" s="8">
        <v>7.1385125370777236E-2</v>
      </c>
      <c r="T4" s="8">
        <v>0.14658666529834194</v>
      </c>
      <c r="U4" s="8">
        <v>0.14164603324469791</v>
      </c>
      <c r="W4" s="131">
        <v>7.8684404731036967E-2</v>
      </c>
      <c r="X4" s="132"/>
      <c r="Y4" s="133"/>
      <c r="CF4" s="118"/>
      <c r="CG4" s="118"/>
      <c r="CH4" s="118"/>
    </row>
    <row r="5" spans="1:86" ht="16" x14ac:dyDescent="0.2">
      <c r="A5" s="9"/>
      <c r="B5" s="5">
        <v>3.5587944660296397E-2</v>
      </c>
      <c r="C5" s="5">
        <v>4.2581103367740271E-2</v>
      </c>
      <c r="D5" s="5">
        <v>4.8559230839563469E-2</v>
      </c>
      <c r="E5" s="5">
        <v>4.4093867518441299E-2</v>
      </c>
      <c r="F5" s="5">
        <v>1.8943670213298042E-2</v>
      </c>
      <c r="G5" s="5">
        <v>3.7703857341636053E-2</v>
      </c>
      <c r="H5" s="5">
        <v>1.5026780805780347E-2</v>
      </c>
      <c r="I5" s="5">
        <v>1.639897794929282E-2</v>
      </c>
      <c r="J5" s="6">
        <v>2.4021044599120564E-2</v>
      </c>
      <c r="K5" s="6">
        <v>-3.8296917194582856E-3</v>
      </c>
      <c r="L5" s="6">
        <v>3.3410483387431564E-2</v>
      </c>
      <c r="M5" s="6">
        <v>5.9243426725115716E-3</v>
      </c>
      <c r="N5" s="6">
        <v>1.5606851488399187E-2</v>
      </c>
      <c r="O5" s="7">
        <v>1.035134592723777E-3</v>
      </c>
      <c r="P5" s="7">
        <v>1.5010679796632722E-2</v>
      </c>
      <c r="Q5" s="7">
        <v>6.008247994884682E-3</v>
      </c>
      <c r="R5" s="7">
        <v>1.2340873073822227E-2</v>
      </c>
      <c r="S5" s="8">
        <v>5.0279690438092273E-2</v>
      </c>
      <c r="T5" s="8">
        <v>-4.1103701429796094E-2</v>
      </c>
      <c r="U5" s="8">
        <v>4.6414171231020365E-3</v>
      </c>
      <c r="W5" s="131">
        <v>2.9728930143115964E-2</v>
      </c>
      <c r="X5" s="132"/>
      <c r="Y5" s="133"/>
      <c r="CF5" s="118"/>
      <c r="CG5" s="118"/>
      <c r="CH5" s="118"/>
    </row>
    <row r="6" spans="1:86" ht="16" x14ac:dyDescent="0.2">
      <c r="A6" s="9"/>
      <c r="B6" s="5">
        <v>1.4167672941832592E-2</v>
      </c>
      <c r="C6" s="5">
        <v>1.3529286926994814E-2</v>
      </c>
      <c r="D6" s="5">
        <v>-8.5803285638009312E-3</v>
      </c>
      <c r="E6" s="5">
        <v>1.6683683083300791E-2</v>
      </c>
      <c r="F6" s="5">
        <v>-9.5208703052639728E-3</v>
      </c>
      <c r="G6" s="5">
        <v>5.2353703452140002E-3</v>
      </c>
      <c r="H6" s="5">
        <v>2.7674922719434118E-2</v>
      </c>
      <c r="I6" s="5">
        <v>3.8264212119637903E-3</v>
      </c>
      <c r="J6" s="6">
        <v>6.1055865536391975E-3</v>
      </c>
      <c r="K6" s="6">
        <v>2.3148305876547183E-2</v>
      </c>
      <c r="L6" s="6">
        <v>2.2037337734516962E-2</v>
      </c>
      <c r="M6" s="6">
        <v>-7.5698963537734146E-4</v>
      </c>
      <c r="N6" s="6">
        <v>2.1617996681226564E-3</v>
      </c>
      <c r="O6" s="7">
        <v>1.9336132465499756E-2</v>
      </c>
      <c r="P6" s="7">
        <v>9.9693848557190351E-3</v>
      </c>
      <c r="Q6" s="7">
        <v>7.8449641737626079E-3</v>
      </c>
      <c r="R6" s="7">
        <v>-3.9967891079185263E-3</v>
      </c>
      <c r="S6" s="8">
        <v>1.2047566110169279E-2</v>
      </c>
      <c r="T6" s="8">
        <v>1.6050624569280646E-3</v>
      </c>
      <c r="U6" s="8">
        <v>4.1976312833832484E-2</v>
      </c>
      <c r="W6" s="131">
        <v>1.7924287751078408E-2</v>
      </c>
      <c r="X6" s="132"/>
      <c r="Y6" s="133"/>
      <c r="CF6" s="118"/>
      <c r="CG6" s="118"/>
      <c r="CH6" s="118"/>
    </row>
    <row r="7" spans="1:86" ht="16" x14ac:dyDescent="0.2">
      <c r="A7" s="9"/>
      <c r="B7" s="5">
        <v>3.9250790414816508E-2</v>
      </c>
      <c r="C7" s="5">
        <v>3.7137855019863067E-2</v>
      </c>
      <c r="D7" s="5">
        <v>3.5863902683246851E-2</v>
      </c>
      <c r="E7" s="5">
        <v>0.14328428269882471</v>
      </c>
      <c r="F7" s="5">
        <v>3.4184582552419338E-2</v>
      </c>
      <c r="G7" s="5">
        <v>2.8367843981603046E-2</v>
      </c>
      <c r="H7" s="5">
        <v>5.1041046780850093E-2</v>
      </c>
      <c r="I7" s="5">
        <v>-2.6959033749335878E-2</v>
      </c>
      <c r="J7" s="6">
        <v>2.8744582514147958E-2</v>
      </c>
      <c r="K7" s="6">
        <v>2.1411963606725121E-2</v>
      </c>
      <c r="L7" s="6">
        <v>3.4990613913253879E-2</v>
      </c>
      <c r="M7" s="6">
        <v>1.7177449901737953E-2</v>
      </c>
      <c r="N7" s="6">
        <v>2.8425960344369925E-2</v>
      </c>
      <c r="O7" s="7">
        <v>2.4170414193380833E-3</v>
      </c>
      <c r="P7" s="7">
        <v>1.4951046181946643E-2</v>
      </c>
      <c r="Q7" s="7">
        <v>-2.2520301795710289E-4</v>
      </c>
      <c r="R7" s="7">
        <v>1.2038482599886966E-2</v>
      </c>
      <c r="S7" s="8">
        <v>-2.8668156457547191E-2</v>
      </c>
      <c r="T7" s="8">
        <v>3.9923455211362105E-2</v>
      </c>
      <c r="U7" s="8">
        <v>-5.3730284452076608E-3</v>
      </c>
      <c r="W7" s="131">
        <v>3.9313434942139368E-2</v>
      </c>
      <c r="X7" s="132"/>
      <c r="Y7" s="133"/>
      <c r="CF7" s="118"/>
      <c r="CG7" s="118"/>
      <c r="CH7" s="118"/>
    </row>
    <row r="8" spans="1:86" ht="16" x14ac:dyDescent="0.2">
      <c r="A8" s="9"/>
      <c r="B8" s="5">
        <v>-6.4498856732394999E-2</v>
      </c>
      <c r="C8" s="5">
        <v>-6.0580455730529635E-2</v>
      </c>
      <c r="D8" s="5">
        <v>-7.1771422450588415E-2</v>
      </c>
      <c r="E8" s="5">
        <v>-6.0694927021616892E-2</v>
      </c>
      <c r="F8" s="5">
        <v>-9.6016367541524386E-2</v>
      </c>
      <c r="G8" s="5">
        <v>-6.3117328211804727E-2</v>
      </c>
      <c r="H8" s="5">
        <v>-7.896937122383875E-2</v>
      </c>
      <c r="I8" s="5">
        <v>-2.6753652315065359E-2</v>
      </c>
      <c r="J8" s="6">
        <v>-5.2157621775577728E-2</v>
      </c>
      <c r="K8" s="6">
        <v>-6.3810271080476461E-2</v>
      </c>
      <c r="L8" s="6">
        <v>-4.2040942913598126E-2</v>
      </c>
      <c r="M8" s="6">
        <v>-7.3675847575170428E-2</v>
      </c>
      <c r="N8" s="6">
        <v>-5.3363197664096633E-2</v>
      </c>
      <c r="O8" s="7">
        <v>1.509714457963395E-2</v>
      </c>
      <c r="P8" s="7">
        <v>-1.0827392435436557E-2</v>
      </c>
      <c r="Q8" s="7">
        <v>-1.0945911881208078E-2</v>
      </c>
      <c r="R8" s="7">
        <v>-1.9230847526081136E-2</v>
      </c>
      <c r="S8" s="8">
        <v>-7.0668175664731103E-2</v>
      </c>
      <c r="T8" s="8">
        <v>-0.15962949971055712</v>
      </c>
      <c r="U8" s="8">
        <v>2.7010606883397258E-2</v>
      </c>
      <c r="W8" s="131">
        <v>-6.5777726481161508E-2</v>
      </c>
      <c r="X8" s="134"/>
      <c r="Y8" s="133"/>
      <c r="CF8" s="118"/>
      <c r="CG8" s="118"/>
      <c r="CH8" s="118"/>
    </row>
    <row r="9" spans="1:86" ht="16" x14ac:dyDescent="0.2">
      <c r="A9" s="9"/>
      <c r="B9" s="5">
        <v>7.0780583375414888E-2</v>
      </c>
      <c r="C9" s="5">
        <v>7.1010116822367894E-2</v>
      </c>
      <c r="D9" s="5">
        <v>6.9689174222583736E-2</v>
      </c>
      <c r="E9" s="5">
        <v>7.3475490591439568E-2</v>
      </c>
      <c r="F9" s="5">
        <v>9.569794509845253E-2</v>
      </c>
      <c r="G9" s="5">
        <v>6.6443621138674885E-2</v>
      </c>
      <c r="H9" s="5">
        <v>7.7568828117611371E-2</v>
      </c>
      <c r="I9" s="5">
        <v>7.1989839001029898E-2</v>
      </c>
      <c r="J9" s="6">
        <v>5.9591161251872818E-2</v>
      </c>
      <c r="K9" s="6">
        <v>5.3718491551580809E-2</v>
      </c>
      <c r="L9" s="6">
        <v>6.485794735014512E-2</v>
      </c>
      <c r="M9" s="6">
        <v>5.2624997005342539E-2</v>
      </c>
      <c r="N9" s="6">
        <v>5.3720490995725387E-2</v>
      </c>
      <c r="O9" s="7">
        <v>1.4776505904973687E-2</v>
      </c>
      <c r="P9" s="7">
        <v>2.7245509098725054E-2</v>
      </c>
      <c r="Q9" s="7">
        <v>3.3051182766878365E-2</v>
      </c>
      <c r="R9" s="7">
        <v>3.9417804316777924E-2</v>
      </c>
      <c r="S9" s="8">
        <v>7.0140348077603207E-2</v>
      </c>
      <c r="T9" s="8">
        <v>0.15206270132200655</v>
      </c>
      <c r="U9" s="8">
        <v>-2.0317144222260743E-2</v>
      </c>
      <c r="W9" s="131">
        <v>6.8930183208215035E-2</v>
      </c>
      <c r="X9" s="132"/>
      <c r="Y9" s="133"/>
      <c r="CF9" s="118"/>
      <c r="CG9" s="118"/>
      <c r="CH9" s="118"/>
    </row>
    <row r="10" spans="1:86" ht="16" x14ac:dyDescent="0.2">
      <c r="A10" s="9"/>
      <c r="B10" s="5">
        <v>1.4125120060408771E-2</v>
      </c>
      <c r="C10" s="5">
        <v>1.3101356213947079E-2</v>
      </c>
      <c r="D10" s="5">
        <v>1.2000213126626776E-2</v>
      </c>
      <c r="E10" s="5">
        <v>1.2621592340825227E-2</v>
      </c>
      <c r="F10" s="5">
        <v>1.6011971528405174E-2</v>
      </c>
      <c r="G10" s="5">
        <v>7.2099111710274234E-3</v>
      </c>
      <c r="H10" s="5">
        <v>1.1595048098576009E-2</v>
      </c>
      <c r="I10" s="5">
        <v>-1.3050309898924951E-2</v>
      </c>
      <c r="J10" s="6">
        <v>-1.9632322285874269E-2</v>
      </c>
      <c r="K10" s="6">
        <v>-1.8104648699965222E-2</v>
      </c>
      <c r="L10" s="6">
        <v>-1.1390357727471431E-2</v>
      </c>
      <c r="M10" s="6">
        <v>-2.082406830410934E-2</v>
      </c>
      <c r="N10" s="6">
        <v>-2.6881810109430242E-2</v>
      </c>
      <c r="O10" s="7">
        <v>2.3571246723555306E-3</v>
      </c>
      <c r="P10" s="7">
        <v>4.4564918197423937E-3</v>
      </c>
      <c r="Q10" s="7">
        <v>-1.3418341127945224E-2</v>
      </c>
      <c r="R10" s="7">
        <v>-1.9642119010106238E-2</v>
      </c>
      <c r="S10" s="8">
        <v>-2.2288070662231551E-2</v>
      </c>
      <c r="T10" s="8">
        <v>-7.2549338467662552E-2</v>
      </c>
      <c r="U10" s="8">
        <v>3.0732143989962758E-2</v>
      </c>
      <c r="W10" s="131">
        <v>1.312819536603934E-2</v>
      </c>
      <c r="X10" s="132"/>
      <c r="Y10" s="133"/>
      <c r="CF10" s="118"/>
      <c r="CG10" s="118"/>
      <c r="CH10" s="118"/>
    </row>
    <row r="11" spans="1:86" ht="16" x14ac:dyDescent="0.2">
      <c r="A11" s="9"/>
      <c r="B11" s="5">
        <v>-2.0826770418676366E-2</v>
      </c>
      <c r="C11" s="5">
        <v>-2.7576176980503634E-2</v>
      </c>
      <c r="D11" s="5">
        <v>-3.9674584943703711E-2</v>
      </c>
      <c r="E11" s="5">
        <v>-1.6778580076827278E-2</v>
      </c>
      <c r="F11" s="5">
        <v>-4.5217683298285266E-2</v>
      </c>
      <c r="G11" s="5">
        <v>-2.1020431344274001E-2</v>
      </c>
      <c r="H11" s="5">
        <v>-1.7358461272383031E-2</v>
      </c>
      <c r="I11" s="5">
        <v>-1.1767143401925887E-2</v>
      </c>
      <c r="J11" s="6">
        <v>-1.8753707209999797E-2</v>
      </c>
      <c r="K11" s="6">
        <v>-3.2567109888594091E-2</v>
      </c>
      <c r="L11" s="6">
        <v>-5.5103325628759964E-3</v>
      </c>
      <c r="M11" s="6">
        <v>-3.5445042217287372E-2</v>
      </c>
      <c r="N11" s="6">
        <v>-3.4488336093239064E-2</v>
      </c>
      <c r="O11" s="7">
        <v>2.324590463706545E-2</v>
      </c>
      <c r="P11" s="7">
        <v>9.5835561104707489E-3</v>
      </c>
      <c r="Q11" s="7">
        <v>8.8005907760509844E-3</v>
      </c>
      <c r="R11" s="7">
        <v>3.9678611395260272E-4</v>
      </c>
      <c r="S11" s="8">
        <v>-7.2789109683028944E-2</v>
      </c>
      <c r="T11" s="8">
        <v>4.5102441956623378E-2</v>
      </c>
      <c r="U11" s="8">
        <v>0.103770909106303</v>
      </c>
      <c r="W11" s="131">
        <v>-1.8091652742267789E-2</v>
      </c>
      <c r="X11" s="132"/>
      <c r="Y11" s="133"/>
      <c r="CF11" s="118"/>
      <c r="CG11" s="118"/>
      <c r="CH11" s="118"/>
    </row>
    <row r="12" spans="1:86" ht="16" x14ac:dyDescent="0.2">
      <c r="A12" s="9"/>
      <c r="B12" s="5">
        <v>1.7792803771508825E-2</v>
      </c>
      <c r="C12" s="5">
        <v>2.0970813239814031E-2</v>
      </c>
      <c r="D12" s="5">
        <v>1.3667671114937685E-2</v>
      </c>
      <c r="E12" s="5">
        <v>-1.2189368597197553E-2</v>
      </c>
      <c r="F12" s="5">
        <v>4.8549395891545125E-2</v>
      </c>
      <c r="G12" s="5">
        <v>3.8954588304293922E-2</v>
      </c>
      <c r="H12" s="5">
        <v>1.3397384884376088E-2</v>
      </c>
      <c r="I12" s="5">
        <v>-7.9013047909181656E-3</v>
      </c>
      <c r="J12" s="6">
        <v>3.2069732876880711E-2</v>
      </c>
      <c r="K12" s="6">
        <v>9.109080194273542E-3</v>
      </c>
      <c r="L12" s="6">
        <v>1.3852225901488211E-2</v>
      </c>
      <c r="M12" s="6">
        <v>4.685317651186615E-2</v>
      </c>
      <c r="N12" s="6">
        <v>4.1206643633801228E-2</v>
      </c>
      <c r="O12" s="7">
        <v>-3.866576837758766E-3</v>
      </c>
      <c r="P12" s="7">
        <v>4.2625336091215854E-3</v>
      </c>
      <c r="Q12" s="7">
        <v>-7.9514433206052601E-3</v>
      </c>
      <c r="R12" s="7">
        <v>-9.3199608909405596E-3</v>
      </c>
      <c r="S12" s="8">
        <v>4.3523101536119248E-2</v>
      </c>
      <c r="T12" s="8">
        <v>6.2331577714743465E-2</v>
      </c>
      <c r="U12" s="8">
        <v>-6.1660720881550189E-5</v>
      </c>
      <c r="W12" s="131">
        <v>1.7181167690656883E-2</v>
      </c>
      <c r="X12" s="132"/>
      <c r="Y12" s="133"/>
      <c r="CF12" s="118"/>
      <c r="CG12" s="118"/>
      <c r="CH12" s="118"/>
    </row>
    <row r="13" spans="1:86" ht="16" x14ac:dyDescent="0.2">
      <c r="A13" s="9"/>
      <c r="B13" s="5">
        <v>2.1060071251610458E-2</v>
      </c>
      <c r="C13" s="5">
        <v>1.1098214643067017E-2</v>
      </c>
      <c r="D13" s="5">
        <v>1.650484334821695E-2</v>
      </c>
      <c r="E13" s="5">
        <v>2.5419733448725831E-2</v>
      </c>
      <c r="F13" s="5">
        <v>2.8400774248799623E-2</v>
      </c>
      <c r="G13" s="5">
        <v>1.0481276068404115E-2</v>
      </c>
      <c r="H13" s="5">
        <v>7.1065244979634373E-3</v>
      </c>
      <c r="I13" s="5">
        <v>4.7829498532662766E-2</v>
      </c>
      <c r="J13" s="6">
        <v>3.1387585204588689E-2</v>
      </c>
      <c r="K13" s="6">
        <v>3.9493334461624854E-2</v>
      </c>
      <c r="L13" s="6">
        <v>3.2666690748798348E-2</v>
      </c>
      <c r="M13" s="6">
        <v>3.905205144696311E-2</v>
      </c>
      <c r="N13" s="6">
        <v>3.3002220959736102E-2</v>
      </c>
      <c r="O13" s="7">
        <v>4.5210736947901191E-3</v>
      </c>
      <c r="P13" s="7">
        <v>6.1315843934347898E-3</v>
      </c>
      <c r="Q13" s="7">
        <v>2.5883421174265991E-2</v>
      </c>
      <c r="R13" s="7">
        <v>2.3418803770125965E-2</v>
      </c>
      <c r="S13" s="8">
        <v>-2.9235911602437686E-2</v>
      </c>
      <c r="T13" s="8">
        <v>0.10053295731235834</v>
      </c>
      <c r="U13" s="8">
        <v>8.2598301068625465E-2</v>
      </c>
      <c r="W13" s="131">
        <v>2.0431747482144953E-2</v>
      </c>
      <c r="X13" s="132"/>
      <c r="Y13" s="133"/>
      <c r="CF13" s="118"/>
      <c r="CG13" s="118"/>
      <c r="CH13" s="118"/>
    </row>
    <row r="14" spans="1:86" ht="16" x14ac:dyDescent="0.2">
      <c r="A14" s="9"/>
      <c r="B14" s="5">
        <v>3.7877539095742256E-2</v>
      </c>
      <c r="C14" s="5">
        <v>3.221971792902744E-2</v>
      </c>
      <c r="D14" s="5">
        <v>4.1999843661628573E-2</v>
      </c>
      <c r="E14" s="5">
        <v>5.1263509694157924E-2</v>
      </c>
      <c r="F14" s="5">
        <v>3.6979920469634379E-2</v>
      </c>
      <c r="G14" s="5">
        <v>2.3421917622440485E-2</v>
      </c>
      <c r="H14" s="5">
        <v>1.863298182348026E-2</v>
      </c>
      <c r="I14" s="5">
        <v>6.1297776904806651E-2</v>
      </c>
      <c r="J14" s="6">
        <v>1.247704408690329E-2</v>
      </c>
      <c r="K14" s="6">
        <v>5.0178265883753072E-3</v>
      </c>
      <c r="L14" s="6">
        <v>1.8041808841666191E-2</v>
      </c>
      <c r="M14" s="6">
        <v>1.3175886138934143E-2</v>
      </c>
      <c r="N14" s="6">
        <v>7.3350212849422362E-3</v>
      </c>
      <c r="O14" s="7">
        <v>-3.60037310129914E-4</v>
      </c>
      <c r="P14" s="7">
        <v>5.9503642607866662E-3</v>
      </c>
      <c r="Q14" s="7">
        <v>-7.7801685938253427E-3</v>
      </c>
      <c r="R14" s="7">
        <v>-9.7779586056379129E-4</v>
      </c>
      <c r="S14" s="8">
        <v>4.1592632069383163E-2</v>
      </c>
      <c r="T14" s="8">
        <v>3.1100432461244453E-2</v>
      </c>
      <c r="U14" s="8">
        <v>5.1849720025138307E-3</v>
      </c>
      <c r="W14" s="131">
        <v>3.4047064090915104E-2</v>
      </c>
      <c r="X14" s="132"/>
      <c r="Y14" s="133"/>
      <c r="CF14" s="118"/>
      <c r="CG14" s="118"/>
      <c r="CH14" s="118"/>
    </row>
    <row r="15" spans="1:86" ht="16" x14ac:dyDescent="0.2">
      <c r="A15" s="9"/>
      <c r="B15" s="5">
        <v>2.8041389667045211E-2</v>
      </c>
      <c r="C15" s="5">
        <v>2.4321878303881602E-2</v>
      </c>
      <c r="D15" s="5">
        <v>2.1668346701112038E-2</v>
      </c>
      <c r="E15" s="5">
        <v>2.5204759712427183E-2</v>
      </c>
      <c r="F15" s="5">
        <v>3.2663490073820321E-2</v>
      </c>
      <c r="G15" s="5">
        <v>2.9742132021235251E-2</v>
      </c>
      <c r="H15" s="5">
        <v>2.9586026942611404E-2</v>
      </c>
      <c r="I15" s="5">
        <v>3.2185232534889988E-2</v>
      </c>
      <c r="J15" s="6">
        <v>3.3416008261788831E-2</v>
      </c>
      <c r="K15" s="6">
        <v>7.0688835771970077E-2</v>
      </c>
      <c r="L15" s="6">
        <v>2.7517374774765971E-2</v>
      </c>
      <c r="M15" s="6">
        <v>3.1026434590492764E-2</v>
      </c>
      <c r="N15" s="6">
        <v>4.1150721772297824E-2</v>
      </c>
      <c r="O15" s="7">
        <v>6.1363222957752411E-4</v>
      </c>
      <c r="P15" s="7">
        <v>1.2871469350270335E-2</v>
      </c>
      <c r="Q15" s="7">
        <v>2.1094837064463606E-2</v>
      </c>
      <c r="R15" s="7">
        <v>2.6928468823635129E-2</v>
      </c>
      <c r="S15" s="8">
        <v>4.5998080927390349E-2</v>
      </c>
      <c r="T15" s="8">
        <v>1.6209154602986973E-2</v>
      </c>
      <c r="U15" s="8">
        <v>-7.6517718407182939E-2</v>
      </c>
      <c r="W15" s="131">
        <v>2.8589803182446302E-2</v>
      </c>
      <c r="X15" s="132"/>
      <c r="Y15" s="133"/>
      <c r="CF15" s="118"/>
      <c r="CG15" s="118"/>
      <c r="CH15" s="118"/>
    </row>
    <row r="16" spans="1:86" ht="16" x14ac:dyDescent="0.2">
      <c r="A16" s="9"/>
      <c r="B16" s="5">
        <v>-6.1105731127258413E-4</v>
      </c>
      <c r="C16" s="5">
        <v>-2.4691841555212818E-3</v>
      </c>
      <c r="D16" s="5">
        <v>-2.0164144117572638E-2</v>
      </c>
      <c r="E16" s="5">
        <v>4.416539272615206E-2</v>
      </c>
      <c r="F16" s="5">
        <v>-3.7779959166641106E-2</v>
      </c>
      <c r="G16" s="5">
        <v>-2.5077215237170183E-2</v>
      </c>
      <c r="H16" s="5">
        <v>1.2032467909529599E-2</v>
      </c>
      <c r="I16" s="5">
        <v>-2.4981816221904509E-2</v>
      </c>
      <c r="J16" s="6">
        <v>-2.8546065310615504E-2</v>
      </c>
      <c r="K16" s="6">
        <v>-5.5318388833303984E-2</v>
      </c>
      <c r="L16" s="6">
        <v>-1.2952260558035293E-2</v>
      </c>
      <c r="M16" s="6">
        <v>-4.5547821734722903E-2</v>
      </c>
      <c r="N16" s="6">
        <v>-4.217599716041797E-2</v>
      </c>
      <c r="O16" s="7">
        <v>1.9302207280758796E-2</v>
      </c>
      <c r="P16" s="7">
        <v>8.5637549112575577E-4</v>
      </c>
      <c r="Q16" s="7">
        <v>1.1140853999206099E-2</v>
      </c>
      <c r="R16" s="7">
        <v>-1.2926875722180705E-2</v>
      </c>
      <c r="S16" s="8">
        <v>-0.10227758627373518</v>
      </c>
      <c r="T16" s="8">
        <v>-2.8419131937397122E-2</v>
      </c>
      <c r="U16" s="8">
        <v>5.3974323441955289E-2</v>
      </c>
      <c r="W16" s="131">
        <v>-1.6280898111292685E-3</v>
      </c>
      <c r="X16" s="132"/>
      <c r="Y16" s="133"/>
      <c r="CF16" s="118"/>
      <c r="CG16" s="118"/>
      <c r="CH16" s="118"/>
    </row>
    <row r="17" spans="1:86" ht="16" x14ac:dyDescent="0.2">
      <c r="A17" s="9"/>
      <c r="B17" s="5">
        <v>-7.998999590913114E-2</v>
      </c>
      <c r="C17" s="5">
        <v>-8.7712784814950276E-2</v>
      </c>
      <c r="D17" s="5">
        <v>-8.5335995012500179E-2</v>
      </c>
      <c r="E17" s="5">
        <v>-5.7880548757961461E-2</v>
      </c>
      <c r="F17" s="5">
        <v>-9.6363321048157216E-2</v>
      </c>
      <c r="G17" s="5">
        <v>-9.6979133281337143E-2</v>
      </c>
      <c r="H17" s="5">
        <v>-7.5771655996478032E-2</v>
      </c>
      <c r="I17" s="5">
        <v>-6.2369568536961947E-2</v>
      </c>
      <c r="J17" s="6">
        <v>-7.376808305064475E-2</v>
      </c>
      <c r="K17" s="6">
        <v>-3.5467461363219002E-2</v>
      </c>
      <c r="L17" s="6">
        <v>-7.1470545500353949E-2</v>
      </c>
      <c r="M17" s="6">
        <v>-8.4264869395340683E-2</v>
      </c>
      <c r="N17" s="6">
        <v>-7.6935676010631324E-2</v>
      </c>
      <c r="O17" s="7">
        <v>1.5019716420655796E-2</v>
      </c>
      <c r="P17" s="7">
        <v>-7.9170100977825307E-3</v>
      </c>
      <c r="Q17" s="7">
        <v>-2.0801264484701244E-2</v>
      </c>
      <c r="R17" s="7">
        <v>-2.6583403072212436E-2</v>
      </c>
      <c r="S17" s="8">
        <v>-0.15271709049996138</v>
      </c>
      <c r="T17" s="8">
        <v>-2.6868126144929495E-2</v>
      </c>
      <c r="U17" s="8">
        <v>-0.16280268218871585</v>
      </c>
      <c r="W17" s="131">
        <v>-8.4110469009648109E-2</v>
      </c>
      <c r="X17" s="132"/>
      <c r="Y17" s="133"/>
      <c r="CF17" s="118"/>
      <c r="CG17" s="118"/>
      <c r="CH17" s="118"/>
    </row>
    <row r="18" spans="1:86" ht="16" x14ac:dyDescent="0.2">
      <c r="A18" s="9"/>
      <c r="B18" s="5">
        <v>-0.13885729858878443</v>
      </c>
      <c r="C18" s="5">
        <v>-0.18401800502910445</v>
      </c>
      <c r="D18" s="5">
        <v>-0.21959793701577809</v>
      </c>
      <c r="E18" s="5">
        <v>-0.10562386259020962</v>
      </c>
      <c r="F18" s="5">
        <v>-0.18320358560571914</v>
      </c>
      <c r="G18" s="5">
        <v>-0.13620679154221108</v>
      </c>
      <c r="H18" s="5">
        <v>-0.17802616692292064</v>
      </c>
      <c r="I18" s="5">
        <v>-5.0038146038328228E-2</v>
      </c>
      <c r="J18" s="6">
        <v>-0.14606730468748663</v>
      </c>
      <c r="K18" s="6">
        <v>-0.17046807468161296</v>
      </c>
      <c r="L18" s="6">
        <v>-0.10271290640535859</v>
      </c>
      <c r="M18" s="6">
        <v>-0.17370867184538957</v>
      </c>
      <c r="N18" s="6">
        <v>-0.19137624745037135</v>
      </c>
      <c r="O18" s="7">
        <v>-1.7170301629941424E-2</v>
      </c>
      <c r="P18" s="7">
        <v>-9.9614203009516608E-2</v>
      </c>
      <c r="Q18" s="7">
        <v>-8.6152833635802645E-2</v>
      </c>
      <c r="R18" s="7">
        <v>-0.13112454340062382</v>
      </c>
      <c r="S18" s="8">
        <v>-0.28315201276541851</v>
      </c>
      <c r="T18" s="8">
        <v>-0.37002808476248733</v>
      </c>
      <c r="U18" s="8">
        <v>-0.43863664040555556</v>
      </c>
      <c r="W18" s="131">
        <v>-0.12511932083595659</v>
      </c>
      <c r="X18" s="132"/>
      <c r="Y18" s="133"/>
      <c r="CF18" s="118"/>
      <c r="CG18" s="118"/>
      <c r="CH18" s="118"/>
    </row>
    <row r="19" spans="1:86" ht="16" x14ac:dyDescent="0.2">
      <c r="A19" s="9"/>
      <c r="B19" s="5">
        <v>0.13133168671010062</v>
      </c>
      <c r="C19" s="5">
        <v>0.14234743502831879</v>
      </c>
      <c r="D19" s="5">
        <v>0.14553040047569396</v>
      </c>
      <c r="E19" s="5">
        <v>0.1709379943920708</v>
      </c>
      <c r="F19" s="5">
        <v>0.11079364573394278</v>
      </c>
      <c r="G19" s="5">
        <v>0.10261473990279806</v>
      </c>
      <c r="H19" s="5">
        <v>0.21926459346388438</v>
      </c>
      <c r="I19" s="5">
        <v>0.13444510670197793</v>
      </c>
      <c r="J19" s="6">
        <v>6.23066212408247E-2</v>
      </c>
      <c r="K19" s="6">
        <v>7.8092640829581034E-2</v>
      </c>
      <c r="L19" s="6">
        <v>6.9188707943765804E-2</v>
      </c>
      <c r="M19" s="6">
        <v>5.1704240117697843E-2</v>
      </c>
      <c r="N19" s="6">
        <v>6.0940601525593441E-2</v>
      </c>
      <c r="O19" s="7">
        <v>2.7053665426156538E-2</v>
      </c>
      <c r="P19" s="7">
        <v>3.8619873594235361E-2</v>
      </c>
      <c r="Q19" s="7">
        <v>5.9654146080618912E-2</v>
      </c>
      <c r="R19" s="7">
        <v>7.2798747742052791E-2</v>
      </c>
      <c r="S19" s="8">
        <v>0.286803346578336</v>
      </c>
      <c r="T19" s="8">
        <v>0.35429081690034342</v>
      </c>
      <c r="U19" s="8">
        <v>0.10761613936842764</v>
      </c>
      <c r="W19" s="131">
        <v>0.12684410293315368</v>
      </c>
      <c r="X19" s="132"/>
      <c r="Y19" s="133"/>
      <c r="CF19" s="118"/>
      <c r="CG19" s="118"/>
      <c r="CH19" s="118"/>
    </row>
    <row r="20" spans="1:86" ht="16" x14ac:dyDescent="0.2">
      <c r="A20" s="9"/>
      <c r="B20" s="5">
        <v>5.396329066001096E-2</v>
      </c>
      <c r="C20" s="5">
        <v>7.2677718811278838E-2</v>
      </c>
      <c r="D20" s="5">
        <v>7.6527519887004722E-2</v>
      </c>
      <c r="E20" s="5">
        <v>8.9575671467971976E-2</v>
      </c>
      <c r="F20" s="5">
        <v>3.4581202834350781E-2</v>
      </c>
      <c r="G20" s="5">
        <v>2.8329786158465549E-2</v>
      </c>
      <c r="H20" s="5">
        <v>7.2790196300919055E-2</v>
      </c>
      <c r="I20" s="5">
        <v>4.3519496487436644E-2</v>
      </c>
      <c r="J20" s="6">
        <v>5.3552074743744571E-2</v>
      </c>
      <c r="K20" s="6">
        <v>3.2900101951403631E-2</v>
      </c>
      <c r="L20" s="6">
        <v>6.3659095310065555E-2</v>
      </c>
      <c r="M20" s="6">
        <v>4.4840565142123125E-2</v>
      </c>
      <c r="N20" s="6">
        <v>3.7460678626588931E-2</v>
      </c>
      <c r="O20" s="7">
        <v>1.355072524003556E-2</v>
      </c>
      <c r="P20" s="7">
        <v>3.7518854433208453E-2</v>
      </c>
      <c r="Q20" s="7">
        <v>1.2747158915889071E-2</v>
      </c>
      <c r="R20" s="7">
        <v>3.468338849040685E-2</v>
      </c>
      <c r="S20" s="8">
        <v>6.9147452464983815E-3</v>
      </c>
      <c r="T20" s="8">
        <v>3.4125494132547549E-2</v>
      </c>
      <c r="U20" s="8">
        <v>-3.6372509724576056E-2</v>
      </c>
      <c r="W20" s="131">
        <v>4.5281775012618368E-2</v>
      </c>
      <c r="X20" s="132"/>
      <c r="Y20" s="133"/>
      <c r="CF20" s="118"/>
      <c r="CG20" s="118"/>
      <c r="CH20" s="118"/>
    </row>
    <row r="21" spans="1:86" ht="16" x14ac:dyDescent="0.2">
      <c r="A21" s="9"/>
      <c r="B21" s="5">
        <v>2.2981953156700943E-2</v>
      </c>
      <c r="C21" s="5">
        <v>2.0245421296431049E-2</v>
      </c>
      <c r="D21" s="5">
        <v>2.5908748494987588E-2</v>
      </c>
      <c r="E21" s="5">
        <v>6.357433599812598E-2</v>
      </c>
      <c r="F21" s="5">
        <v>3.8164861104955459E-3</v>
      </c>
      <c r="G21" s="5">
        <v>-7.6326094043132221E-3</v>
      </c>
      <c r="H21" s="5">
        <v>5.4877226156208894E-2</v>
      </c>
      <c r="I21" s="5">
        <v>-1.6347127573930417E-2</v>
      </c>
      <c r="J21" s="6">
        <v>3.68108484923041E-2</v>
      </c>
      <c r="K21" s="6">
        <v>6.4771815588246059E-2</v>
      </c>
      <c r="L21" s="6">
        <v>3.4086815862426949E-2</v>
      </c>
      <c r="M21" s="6">
        <v>2.0390743753594464E-2</v>
      </c>
      <c r="N21" s="6">
        <v>3.714506686695003E-2</v>
      </c>
      <c r="O21" s="7">
        <v>1.5604121732616147E-2</v>
      </c>
      <c r="P21" s="7">
        <v>2.3299049610774141E-3</v>
      </c>
      <c r="Q21" s="7">
        <v>2.3597231349112905E-2</v>
      </c>
      <c r="R21" s="7">
        <v>2.2277687311382188E-2</v>
      </c>
      <c r="S21" s="8">
        <v>-1.5741211215113547E-2</v>
      </c>
      <c r="T21" s="8">
        <v>0.1203011316410388</v>
      </c>
      <c r="U21" s="8">
        <v>0.24962834909251636</v>
      </c>
      <c r="W21" s="131">
        <v>1.838840328350267E-2</v>
      </c>
      <c r="X21" s="132"/>
      <c r="Y21" s="133"/>
      <c r="CF21" s="118"/>
      <c r="CG21" s="118"/>
      <c r="CH21" s="118"/>
    </row>
    <row r="22" spans="1:86" ht="16" x14ac:dyDescent="0.2">
      <c r="A22" s="9"/>
      <c r="B22" s="5">
        <v>5.7433093671136345E-2</v>
      </c>
      <c r="C22" s="5">
        <v>6.3327414477496541E-2</v>
      </c>
      <c r="D22" s="5">
        <v>4.5978334013228157E-2</v>
      </c>
      <c r="E22" s="5">
        <v>8.7811366286602743E-2</v>
      </c>
      <c r="F22" s="5">
        <v>1.0515006574015677E-2</v>
      </c>
      <c r="G22" s="5">
        <v>3.071842370604436E-2</v>
      </c>
      <c r="H22" s="5">
        <v>9.2100160939320885E-2</v>
      </c>
      <c r="I22" s="5">
        <v>5.2115395473443724E-2</v>
      </c>
      <c r="J22" s="6">
        <v>2.4201777431415262E-2</v>
      </c>
      <c r="K22" s="6">
        <v>8.5836850607055384E-2</v>
      </c>
      <c r="L22" s="6">
        <v>3.9826816003631221E-2</v>
      </c>
      <c r="M22" s="6">
        <v>-2.3553450834325543E-2</v>
      </c>
      <c r="N22" s="6">
        <v>2.6763087826722647E-2</v>
      </c>
      <c r="O22" s="7">
        <v>1.76852533055895E-2</v>
      </c>
      <c r="P22" s="7">
        <v>4.5128545960830838E-2</v>
      </c>
      <c r="Q22" s="7">
        <v>5.8114965640824932E-2</v>
      </c>
      <c r="R22" s="7">
        <v>6.4154820238310151E-2</v>
      </c>
      <c r="S22" s="8">
        <v>-7.3142188124320329E-2</v>
      </c>
      <c r="T22" s="8">
        <v>0.27340526397498577</v>
      </c>
      <c r="U22" s="8">
        <v>-5.0398463826736226E-3</v>
      </c>
      <c r="W22" s="131">
        <v>5.5101296975444213E-2</v>
      </c>
      <c r="X22" s="132"/>
      <c r="Y22" s="133"/>
      <c r="CF22" s="118"/>
      <c r="CG22" s="118"/>
      <c r="CH22" s="118"/>
    </row>
    <row r="23" spans="1:86" ht="16" x14ac:dyDescent="0.2">
      <c r="A23" s="9"/>
      <c r="B23" s="5">
        <v>7.1048584322920577E-2</v>
      </c>
      <c r="C23" s="5">
        <v>3.1843157207464577E-2</v>
      </c>
      <c r="D23" s="5">
        <v>3.9627861704822867E-2</v>
      </c>
      <c r="E23" s="5">
        <v>0.11258292442622418</v>
      </c>
      <c r="F23" s="5">
        <v>3.8471822488137838E-2</v>
      </c>
      <c r="G23" s="5">
        <v>3.1896498099695338E-2</v>
      </c>
      <c r="H23" s="5">
        <v>0.12947528326890137</v>
      </c>
      <c r="I23" s="5">
        <v>2.35825635480373E-2</v>
      </c>
      <c r="J23" s="6">
        <v>4.9228522019442222E-2</v>
      </c>
      <c r="K23" s="6">
        <v>2.7435545950376606E-2</v>
      </c>
      <c r="L23" s="6">
        <v>4.2466919975078947E-2</v>
      </c>
      <c r="M23" s="6">
        <v>6.0828353485178399E-2</v>
      </c>
      <c r="N23" s="6">
        <v>3.4817262418767023E-2</v>
      </c>
      <c r="O23" s="7">
        <v>-7.5649119781779333E-3</v>
      </c>
      <c r="P23" s="7">
        <v>5.6664323657859162E-3</v>
      </c>
      <c r="Q23" s="7">
        <v>1.0843815712371288E-2</v>
      </c>
      <c r="R23" s="7">
        <v>3.0239282834982697E-2</v>
      </c>
      <c r="S23" s="8">
        <v>-1.4876368900652436E-3</v>
      </c>
      <c r="T23" s="8">
        <v>5.3561159330961304E-2</v>
      </c>
      <c r="U23" s="8">
        <v>0.14140976521778736</v>
      </c>
      <c r="W23" s="131">
        <v>7.0064687324219249E-2</v>
      </c>
      <c r="X23" s="132"/>
      <c r="Y23" s="133"/>
      <c r="CF23" s="118"/>
      <c r="CG23" s="118"/>
      <c r="CH23" s="118"/>
    </row>
    <row r="24" spans="1:86" ht="16" x14ac:dyDescent="0.2">
      <c r="A24" s="9"/>
      <c r="B24" s="5">
        <v>-3.5375355754451984E-2</v>
      </c>
      <c r="C24" s="5">
        <v>-1.6077410424078998E-2</v>
      </c>
      <c r="D24" s="5">
        <v>-2.584228377070719E-2</v>
      </c>
      <c r="E24" s="5">
        <v>-4.3918875970107407E-2</v>
      </c>
      <c r="F24" s="5">
        <v>-2.0905612160066936E-2</v>
      </c>
      <c r="G24" s="5">
        <v>-2.5810067867634522E-2</v>
      </c>
      <c r="H24" s="5">
        <v>-3.3335904652179289E-2</v>
      </c>
      <c r="I24" s="5">
        <v>-1.3600108973347574E-2</v>
      </c>
      <c r="J24" s="6">
        <v>-1.7829168340184706E-2</v>
      </c>
      <c r="K24" s="6">
        <v>-1.1957960775814999E-2</v>
      </c>
      <c r="L24" s="6">
        <v>-2.3309415901058986E-3</v>
      </c>
      <c r="M24" s="6">
        <v>-3.2624805633161821E-2</v>
      </c>
      <c r="N24" s="6">
        <v>-3.2539289032434471E-2</v>
      </c>
      <c r="O24" s="7">
        <v>-1.026526803483577E-3</v>
      </c>
      <c r="P24" s="7">
        <v>-8.184282968441663E-3</v>
      </c>
      <c r="Q24" s="7">
        <v>-1.658563481946379E-2</v>
      </c>
      <c r="R24" s="7">
        <v>-3.0837820569604137E-2</v>
      </c>
      <c r="S24" s="8">
        <v>-0.13862781157944257</v>
      </c>
      <c r="T24" s="8">
        <v>-9.6335156952419607E-2</v>
      </c>
      <c r="U24" s="8">
        <v>2.7664298470925112E-2</v>
      </c>
      <c r="W24" s="131">
        <v>-3.9227954095494386E-2</v>
      </c>
      <c r="X24" s="132"/>
      <c r="Y24" s="133"/>
      <c r="CF24" s="118"/>
      <c r="CG24" s="118"/>
      <c r="CH24" s="118"/>
    </row>
    <row r="25" spans="1:86" ht="16" x14ac:dyDescent="0.2">
      <c r="A25" s="9"/>
      <c r="B25" s="5">
        <v>-1.9493996513317378E-2</v>
      </c>
      <c r="C25" s="5">
        <v>-6.8102978600154249E-4</v>
      </c>
      <c r="D25" s="5">
        <v>2.1521642106427201E-2</v>
      </c>
      <c r="E25" s="5">
        <v>-3.5840555611542264E-2</v>
      </c>
      <c r="F25" s="5">
        <v>-1.0707462757329369E-2</v>
      </c>
      <c r="G25" s="5">
        <v>-1.717527924025217E-2</v>
      </c>
      <c r="H25" s="5">
        <v>-2.3442252858847941E-2</v>
      </c>
      <c r="I25" s="5">
        <v>-2.8676525376159379E-2</v>
      </c>
      <c r="J25" s="6">
        <v>-3.4394881628703015E-2</v>
      </c>
      <c r="K25" s="6">
        <v>1.3182149840798322E-2</v>
      </c>
      <c r="L25" s="6">
        <v>-3.9830719134083196E-2</v>
      </c>
      <c r="M25" s="6">
        <v>-4.0367851036325592E-2</v>
      </c>
      <c r="N25" s="6">
        <v>-2.6892036903657927E-2</v>
      </c>
      <c r="O25" s="7">
        <v>-3.755893333632888E-3</v>
      </c>
      <c r="P25" s="7">
        <v>3.8208477816266736E-3</v>
      </c>
      <c r="Q25" s="7">
        <v>1.91595355216129E-3</v>
      </c>
      <c r="R25" s="7">
        <v>-4.2168959375329549E-3</v>
      </c>
      <c r="S25" s="8">
        <v>-6.7439559232890967E-2</v>
      </c>
      <c r="T25" s="8">
        <v>1.9122922898187421E-2</v>
      </c>
      <c r="U25" s="8">
        <v>-6.3069519070880709E-2</v>
      </c>
      <c r="W25" s="131">
        <v>-2.7963128159381494E-2</v>
      </c>
      <c r="X25" s="132"/>
      <c r="Y25" s="133"/>
      <c r="CF25" s="118"/>
      <c r="CG25" s="118"/>
      <c r="CH25" s="118"/>
    </row>
    <row r="26" spans="1:86" ht="16" x14ac:dyDescent="0.2">
      <c r="A26" s="9"/>
      <c r="B26" s="5">
        <v>0.11803102549238012</v>
      </c>
      <c r="C26" s="5">
        <v>0.13364354245707025</v>
      </c>
      <c r="D26" s="5">
        <v>0.15778739231970806</v>
      </c>
      <c r="E26" s="5">
        <v>0.13420583886610946</v>
      </c>
      <c r="F26" s="5">
        <v>0.16426921520423393</v>
      </c>
      <c r="G26" s="5">
        <v>0.12257981187905505</v>
      </c>
      <c r="H26" s="5">
        <v>0.14123620394395192</v>
      </c>
      <c r="I26" s="5">
        <v>8.8367433252138611E-2</v>
      </c>
      <c r="J26" s="6">
        <v>0.14182073295136075</v>
      </c>
      <c r="K26" s="6">
        <v>8.5596915761047096E-2</v>
      </c>
      <c r="L26" s="6">
        <v>0.11413660128795433</v>
      </c>
      <c r="M26" s="6">
        <v>0.16666675745207496</v>
      </c>
      <c r="N26" s="6">
        <v>0.15021696967633696</v>
      </c>
      <c r="O26" s="7">
        <v>1.4152478455382487E-2</v>
      </c>
      <c r="P26" s="7">
        <v>2.9597357471277362E-2</v>
      </c>
      <c r="Q26" s="7">
        <v>4.1492448000195435E-2</v>
      </c>
      <c r="R26" s="7">
        <v>7.1799615934968711E-2</v>
      </c>
      <c r="S26" s="8">
        <v>0.28407088675348624</v>
      </c>
      <c r="T26" s="8">
        <v>0.13154506986686867</v>
      </c>
      <c r="U26" s="8">
        <v>0.26692579108946862</v>
      </c>
      <c r="W26" s="131">
        <v>0.10788446478390683</v>
      </c>
      <c r="X26" s="118"/>
      <c r="Y26" s="133"/>
      <c r="CF26" s="118"/>
      <c r="CG26" s="118"/>
      <c r="CH26" s="118"/>
    </row>
    <row r="27" spans="1:86" ht="16" x14ac:dyDescent="0.2">
      <c r="A27" s="9"/>
      <c r="B27" s="5">
        <v>4.6763101628086647E-2</v>
      </c>
      <c r="C27" s="5">
        <v>4.0202210824823337E-2</v>
      </c>
      <c r="D27" s="5">
        <v>7.5133872440894908E-2</v>
      </c>
      <c r="E27" s="5">
        <v>5.001666299488803E-2</v>
      </c>
      <c r="F27" s="5">
        <v>2.9002093852796156E-2</v>
      </c>
      <c r="G27" s="5">
        <v>3.4010436218805444E-2</v>
      </c>
      <c r="H27" s="5">
        <v>5.2393775202825683E-2</v>
      </c>
      <c r="I27" s="5">
        <v>4.1577446946277387E-2</v>
      </c>
      <c r="J27" s="6">
        <v>5.5173408431523442E-2</v>
      </c>
      <c r="K27" s="6">
        <v>5.9993746622155272E-2</v>
      </c>
      <c r="L27" s="6">
        <v>5.3284948534848622E-2</v>
      </c>
      <c r="M27" s="6">
        <v>5.1271288722632175E-2</v>
      </c>
      <c r="N27" s="6">
        <v>5.3177602737564361E-2</v>
      </c>
      <c r="O27" s="7">
        <v>3.1593706892077381E-3</v>
      </c>
      <c r="P27" s="7">
        <v>1.2155695033681049E-2</v>
      </c>
      <c r="Q27" s="7">
        <v>3.4563542206968154E-2</v>
      </c>
      <c r="R27" s="7">
        <v>3.0404494349265329E-2</v>
      </c>
      <c r="S27" s="8">
        <v>2.0197953859388922E-2</v>
      </c>
      <c r="T27" s="8">
        <v>9.3945987355790475E-2</v>
      </c>
      <c r="U27" s="8">
        <v>5.4790064765717517E-2</v>
      </c>
      <c r="W27" s="131">
        <v>3.7121406659432372E-2</v>
      </c>
      <c r="X27" s="132"/>
      <c r="Y27" s="133"/>
      <c r="CF27" s="118"/>
      <c r="CG27" s="118"/>
      <c r="CH27" s="118"/>
    </row>
    <row r="28" spans="1:86" ht="16" x14ac:dyDescent="0.2">
      <c r="A28" s="9"/>
      <c r="B28" s="5">
        <v>-3.3393467163090559E-3</v>
      </c>
      <c r="C28" s="5">
        <v>-4.7399189546525724E-3</v>
      </c>
      <c r="D28" s="5">
        <v>2.008423825261527E-2</v>
      </c>
      <c r="E28" s="5">
        <v>2.285540149322043E-3</v>
      </c>
      <c r="F28" s="5">
        <v>3.3022581008129763E-2</v>
      </c>
      <c r="G28" s="5">
        <v>-5.6825176200344159E-3</v>
      </c>
      <c r="H28" s="5">
        <v>2.9471679657850601E-2</v>
      </c>
      <c r="I28" s="5">
        <v>2.368927623894905E-2</v>
      </c>
      <c r="J28" s="6">
        <v>-7.497870655149343E-3</v>
      </c>
      <c r="K28" s="6">
        <v>3.1331136414088502E-2</v>
      </c>
      <c r="L28" s="6">
        <v>-1.4071966972007709E-2</v>
      </c>
      <c r="M28" s="6">
        <v>-8.7848016713332991E-4</v>
      </c>
      <c r="N28" s="6">
        <v>4.9358909786879025E-3</v>
      </c>
      <c r="O28" s="7">
        <v>-6.8762524430079257E-3</v>
      </c>
      <c r="P28" s="7">
        <v>3.4804497769550733E-4</v>
      </c>
      <c r="Q28" s="7">
        <v>-1.3004706589057991E-2</v>
      </c>
      <c r="R28" s="7">
        <v>-5.1282051282051135E-3</v>
      </c>
      <c r="S28" s="8">
        <v>3.256756959960936E-2</v>
      </c>
      <c r="T28" s="8">
        <v>3.0068311993369536E-2</v>
      </c>
      <c r="U28" s="8">
        <v>-8.7110180914009933E-2</v>
      </c>
      <c r="W28" s="131">
        <v>-1.1136640158463601E-2</v>
      </c>
      <c r="X28" s="132"/>
      <c r="Y28" s="133"/>
      <c r="CF28" s="118"/>
      <c r="CG28" s="118"/>
      <c r="CH28" s="118"/>
    </row>
    <row r="29" spans="1:86" ht="16" x14ac:dyDescent="0.2">
      <c r="A29" s="9"/>
      <c r="B29" s="5">
        <v>3.1393443817382752E-2</v>
      </c>
      <c r="C29" s="5">
        <v>5.340420965356641E-2</v>
      </c>
      <c r="D29" s="5">
        <v>6.1685088760999943E-2</v>
      </c>
      <c r="E29" s="5">
        <v>1.4746123441775599E-2</v>
      </c>
      <c r="F29" s="5">
        <v>6.9057823664956455E-2</v>
      </c>
      <c r="G29" s="5">
        <v>4.571927189397644E-2</v>
      </c>
      <c r="H29" s="5">
        <v>8.1191154179335737E-4</v>
      </c>
      <c r="I29" s="5">
        <v>-1.9255074987836868E-2</v>
      </c>
      <c r="J29" s="6">
        <v>2.4622295494072952E-2</v>
      </c>
      <c r="K29" s="6">
        <v>1.5673421055269744E-2</v>
      </c>
      <c r="L29" s="6">
        <v>-6.0308233751109363E-4</v>
      </c>
      <c r="M29" s="6">
        <v>5.8901032077160888E-2</v>
      </c>
      <c r="N29" s="6">
        <v>3.7000517192872576E-2</v>
      </c>
      <c r="O29" s="7">
        <v>-1.3034772884225844E-2</v>
      </c>
      <c r="P29" s="7">
        <v>1.6818333536007258E-4</v>
      </c>
      <c r="Q29" s="7">
        <v>-1.9274695397397772E-2</v>
      </c>
      <c r="R29" s="7">
        <v>5.3323853537150972E-4</v>
      </c>
      <c r="S29" s="8">
        <v>0.24487761474925349</v>
      </c>
      <c r="T29" s="8">
        <v>6.5748335297577468E-2</v>
      </c>
      <c r="U29" s="8">
        <v>7.8014309619332922E-2</v>
      </c>
      <c r="W29" s="131">
        <v>2.6091474971999741E-2</v>
      </c>
      <c r="X29" s="132"/>
      <c r="Y29" s="133"/>
      <c r="CF29" s="118"/>
      <c r="CG29" s="118"/>
      <c r="CH29" s="118"/>
    </row>
    <row r="30" spans="1:86" ht="16" x14ac:dyDescent="0.2">
      <c r="A30" s="9"/>
      <c r="B30" s="5">
        <v>3.6478848080992783E-2</v>
      </c>
      <c r="C30" s="5">
        <v>2.4010546479963556E-2</v>
      </c>
      <c r="D30" s="5">
        <v>1.8138075953820443E-2</v>
      </c>
      <c r="E30" s="5">
        <v>-2.9812734082396927E-2</v>
      </c>
      <c r="F30" s="5">
        <v>7.2494006713751599E-2</v>
      </c>
      <c r="G30" s="5">
        <v>6.9420670960902903E-2</v>
      </c>
      <c r="H30" s="5">
        <v>4.2227398619130552E-2</v>
      </c>
      <c r="I30" s="5">
        <v>2.1264224491400623E-2</v>
      </c>
      <c r="J30" s="6">
        <v>2.7307545276173885E-2</v>
      </c>
      <c r="K30" s="6">
        <v>-7.1041979351434597E-3</v>
      </c>
      <c r="L30" s="6">
        <v>1.03589749829897E-2</v>
      </c>
      <c r="M30" s="6">
        <v>4.9813529324843543E-2</v>
      </c>
      <c r="N30" s="6">
        <v>3.8976392087688438E-2</v>
      </c>
      <c r="O30" s="7">
        <v>-1.2989756795284484E-2</v>
      </c>
      <c r="P30" s="7">
        <v>-1.4963212848080035E-3</v>
      </c>
      <c r="Q30" s="7">
        <v>-1.8293548080486045E-2</v>
      </c>
      <c r="R30" s="7">
        <v>-1.8298099129507927E-2</v>
      </c>
      <c r="S30" s="8">
        <v>3.1070485097245675E-2</v>
      </c>
      <c r="T30" s="8">
        <v>5.5517443267783385E-2</v>
      </c>
      <c r="U30" s="8">
        <v>1.2686588150511009E-2</v>
      </c>
      <c r="W30" s="131">
        <v>4.2438634008107733E-2</v>
      </c>
      <c r="X30" s="134"/>
      <c r="Y30" s="133"/>
      <c r="CF30" s="118"/>
      <c r="CG30" s="118"/>
      <c r="CH30" s="118"/>
    </row>
    <row r="31" spans="1:86" ht="16" x14ac:dyDescent="0.2">
      <c r="A31" s="9"/>
      <c r="B31" s="5">
        <v>5.0365610242928731E-2</v>
      </c>
      <c r="C31" s="5">
        <v>4.829653601582308E-2</v>
      </c>
      <c r="D31" s="5">
        <v>3.9284434914761052E-2</v>
      </c>
      <c r="E31" s="5">
        <v>6.9641754169240122E-2</v>
      </c>
      <c r="F31" s="5">
        <v>1.7763662703714784E-2</v>
      </c>
      <c r="G31" s="5">
        <v>2.5521921600501422E-2</v>
      </c>
      <c r="H31" s="5">
        <v>6.3172739876753092E-2</v>
      </c>
      <c r="I31" s="5">
        <v>4.1442750301610681E-2</v>
      </c>
      <c r="J31" s="6">
        <v>2.9771497250519221E-2</v>
      </c>
      <c r="K31" s="6">
        <v>1.7867397185081881E-2</v>
      </c>
      <c r="L31" s="6">
        <v>4.0811847070714724E-2</v>
      </c>
      <c r="M31" s="6">
        <v>7.9082472177980333E-3</v>
      </c>
      <c r="N31" s="6">
        <v>2.2765435565741194E-2</v>
      </c>
      <c r="O31" s="7">
        <v>8.5884648058245448E-3</v>
      </c>
      <c r="P31" s="7">
        <v>1.1855683280064909E-2</v>
      </c>
      <c r="Q31" s="7">
        <v>2.2172245070924506E-2</v>
      </c>
      <c r="R31" s="7">
        <v>2.5334781035106745E-2</v>
      </c>
      <c r="S31" s="8">
        <v>-8.5688826307095158E-3</v>
      </c>
      <c r="T31" s="8">
        <v>6.9209043430112568E-2</v>
      </c>
      <c r="U31" s="8">
        <v>6.8358157943722811E-2</v>
      </c>
      <c r="W31" s="131">
        <v>5.2425312555847307E-2</v>
      </c>
      <c r="X31" s="132"/>
      <c r="Y31" s="133"/>
      <c r="CF31" s="118"/>
      <c r="CG31" s="118"/>
      <c r="CH31" s="118"/>
    </row>
    <row r="32" spans="1:86" ht="16" x14ac:dyDescent="0.2">
      <c r="A32" s="9"/>
      <c r="B32" s="5">
        <v>4.559788946381935E-3</v>
      </c>
      <c r="C32" s="5">
        <v>8.0592636247619632E-3</v>
      </c>
      <c r="D32" s="5">
        <v>4.0431382522898048E-4</v>
      </c>
      <c r="E32" s="5">
        <v>-2.7140176122419455E-2</v>
      </c>
      <c r="F32" s="5">
        <v>2.8480997305497562E-2</v>
      </c>
      <c r="G32" s="5">
        <v>3.0288053116399639E-2</v>
      </c>
      <c r="H32" s="5">
        <v>-2.8595157092974142E-2</v>
      </c>
      <c r="I32" s="5">
        <v>7.3460417433287503E-3</v>
      </c>
      <c r="J32" s="6">
        <v>3.5880015329245563E-2</v>
      </c>
      <c r="K32" s="6">
        <v>1.6987488466846015E-2</v>
      </c>
      <c r="L32" s="6">
        <v>3.2995547944214831E-2</v>
      </c>
      <c r="M32" s="6">
        <v>4.7077185287219207E-2</v>
      </c>
      <c r="N32" s="6">
        <v>4.3621224527735335E-2</v>
      </c>
      <c r="O32" s="7">
        <v>2.5227345065024971E-3</v>
      </c>
      <c r="P32" s="7">
        <v>1.8579139641079654E-3</v>
      </c>
      <c r="Q32" s="7">
        <v>1.5524525874953326E-2</v>
      </c>
      <c r="R32" s="7">
        <v>1.7649135192375574E-2</v>
      </c>
      <c r="S32" s="8">
        <v>5.0779745169976222E-2</v>
      </c>
      <c r="T32" s="8">
        <v>-1.645131921267768E-3</v>
      </c>
      <c r="U32" s="8">
        <v>-3.8837486100396015E-2</v>
      </c>
      <c r="W32" s="131">
        <v>5.4865025818131288E-3</v>
      </c>
      <c r="X32" s="132"/>
      <c r="Y32" s="133"/>
      <c r="CF32" s="118"/>
      <c r="CG32" s="118"/>
      <c r="CH32" s="118"/>
    </row>
    <row r="33" spans="1:86" ht="16" x14ac:dyDescent="0.2">
      <c r="A33" s="9"/>
      <c r="B33" s="5">
        <v>2.4820129611874939E-2</v>
      </c>
      <c r="C33" s="5">
        <v>1.7737537576523202E-2</v>
      </c>
      <c r="D33" s="5">
        <v>1.4642889074933484E-2</v>
      </c>
      <c r="E33" s="5">
        <v>8.4433892268882593E-2</v>
      </c>
      <c r="F33" s="5">
        <v>-1.595233827372472E-2</v>
      </c>
      <c r="G33" s="5">
        <v>-1.1861845173804952E-2</v>
      </c>
      <c r="H33" s="5">
        <v>3.0659297598895845E-2</v>
      </c>
      <c r="I33" s="5">
        <v>3.2741466638874561E-2</v>
      </c>
      <c r="J33" s="6">
        <v>-8.5049914045299633E-3</v>
      </c>
      <c r="K33" s="6">
        <v>1.326815813402942E-2</v>
      </c>
      <c r="L33" s="6">
        <v>1.4310157971822296E-3</v>
      </c>
      <c r="M33" s="6">
        <v>-2.1690285786167697E-2</v>
      </c>
      <c r="N33" s="6">
        <v>-1.4950418700203978E-2</v>
      </c>
      <c r="O33" s="7">
        <v>1.0794255144826364E-2</v>
      </c>
      <c r="P33" s="7">
        <v>1.0095471733411753E-2</v>
      </c>
      <c r="Q33" s="7">
        <v>-1.670791263627134E-2</v>
      </c>
      <c r="R33" s="7">
        <v>-2.4280263614290646E-2</v>
      </c>
      <c r="S33" s="8">
        <v>6.0806161826697937E-2</v>
      </c>
      <c r="T33" s="8">
        <v>-3.6815488562053932E-2</v>
      </c>
      <c r="U33" s="8">
        <v>1.3605231931136559E-2</v>
      </c>
      <c r="W33" s="131">
        <v>2.221397632316955E-2</v>
      </c>
      <c r="X33" s="132"/>
      <c r="Y33" s="133"/>
      <c r="CF33" s="118"/>
      <c r="CG33" s="118"/>
      <c r="CH33" s="118"/>
    </row>
    <row r="34" spans="1:86" ht="16" x14ac:dyDescent="0.2">
      <c r="A34" s="9"/>
      <c r="B34" s="5">
        <v>1.7368175333121124E-2</v>
      </c>
      <c r="C34" s="5">
        <v>1.3145006473031842E-2</v>
      </c>
      <c r="D34" s="5">
        <v>-1.4781821928312493E-2</v>
      </c>
      <c r="E34" s="5">
        <v>1.5051997810618617E-2</v>
      </c>
      <c r="F34" s="5">
        <v>-6.9478199261596256E-3</v>
      </c>
      <c r="G34" s="5">
        <v>5.536350142662582E-3</v>
      </c>
      <c r="H34" s="5">
        <v>3.3756581381267602E-3</v>
      </c>
      <c r="I34" s="5">
        <v>3.7591499505572813E-2</v>
      </c>
      <c r="J34" s="6">
        <v>3.2953105196450051E-3</v>
      </c>
      <c r="K34" s="6">
        <v>-5.8920984317062552E-2</v>
      </c>
      <c r="L34" s="6">
        <v>1.7710663683818097E-2</v>
      </c>
      <c r="M34" s="6">
        <v>-5.4221533694810446E-3</v>
      </c>
      <c r="N34" s="6">
        <v>-6.4726372546644196E-3</v>
      </c>
      <c r="O34" s="7">
        <v>1.188076843670683E-2</v>
      </c>
      <c r="P34" s="7">
        <v>5.1876434428787298E-3</v>
      </c>
      <c r="Q34" s="7">
        <v>1.3453224577498819E-2</v>
      </c>
      <c r="R34" s="7">
        <v>4.0881621045148241E-3</v>
      </c>
      <c r="S34" s="8">
        <v>-6.2586774024791292E-2</v>
      </c>
      <c r="T34" s="8">
        <v>-2.0708757825973482E-2</v>
      </c>
      <c r="U34" s="8">
        <v>4.8681677172965433E-2</v>
      </c>
      <c r="W34" s="131">
        <v>2.2748109365910464E-2</v>
      </c>
      <c r="X34" s="135"/>
      <c r="Y34" s="133"/>
      <c r="CF34" s="118"/>
      <c r="CG34" s="118"/>
      <c r="CH34" s="118"/>
    </row>
    <row r="35" spans="1:86" ht="16" x14ac:dyDescent="0.2">
      <c r="A35" s="9"/>
      <c r="B35" s="5">
        <v>2.8585247948129142E-2</v>
      </c>
      <c r="C35" s="5">
        <v>3.0232598860352299E-2</v>
      </c>
      <c r="D35" s="5">
        <v>1.964417601926147E-2</v>
      </c>
      <c r="E35" s="5">
        <v>3.0062011323806814E-2</v>
      </c>
      <c r="F35" s="5">
        <v>7.6673997455141904E-3</v>
      </c>
      <c r="G35" s="5">
        <v>2.0882908291307227E-2</v>
      </c>
      <c r="H35" s="5">
        <v>1.8630600471027759E-2</v>
      </c>
      <c r="I35" s="5">
        <v>2.3671904476378115E-2</v>
      </c>
      <c r="J35" s="6">
        <v>1.187468418393125E-2</v>
      </c>
      <c r="K35" s="6">
        <v>2.1913450854095431E-2</v>
      </c>
      <c r="L35" s="6">
        <v>1.9325883861513092E-2</v>
      </c>
      <c r="M35" s="6">
        <v>1.0124610591900373E-2</v>
      </c>
      <c r="N35" s="6">
        <v>1.1992905621990728E-2</v>
      </c>
      <c r="O35" s="7">
        <v>-2.3516708607919483E-3</v>
      </c>
      <c r="P35" s="7">
        <v>5.1788265018445495E-3</v>
      </c>
      <c r="Q35" s="7">
        <v>-1.4186879256207924E-2</v>
      </c>
      <c r="R35" s="7">
        <v>-3.894494600814283E-3</v>
      </c>
      <c r="S35" s="8">
        <v>-2.8262866872894716E-2</v>
      </c>
      <c r="T35" s="8">
        <v>7.4969921036941695E-2</v>
      </c>
      <c r="U35" s="8">
        <v>-3.3157620311698604E-3</v>
      </c>
      <c r="W35" s="131">
        <v>2.8992596569941114E-2</v>
      </c>
      <c r="X35" s="135"/>
      <c r="Y35" s="133"/>
      <c r="CF35" s="118"/>
      <c r="CG35" s="118"/>
      <c r="CH35" s="118"/>
    </row>
    <row r="36" spans="1:86" ht="16" x14ac:dyDescent="0.2">
      <c r="A36" s="9"/>
      <c r="B36" s="5">
        <v>-4.4641478116800117E-2</v>
      </c>
      <c r="C36" s="5">
        <v>-4.1904730302008822E-2</v>
      </c>
      <c r="D36" s="5">
        <v>-3.1242828574238598E-2</v>
      </c>
      <c r="E36" s="5">
        <v>-5.7191467085459892E-2</v>
      </c>
      <c r="F36" s="5">
        <v>-3.5215126907054931E-2</v>
      </c>
      <c r="G36" s="5">
        <v>-3.213843557610014E-2</v>
      </c>
      <c r="H36" s="5">
        <v>-2.9428083680163662E-2</v>
      </c>
      <c r="I36" s="5">
        <v>-5.5015993154639217E-2</v>
      </c>
      <c r="J36" s="6">
        <v>-3.3707865168539186E-2</v>
      </c>
      <c r="K36" s="6">
        <v>-3.3620013824200094E-2</v>
      </c>
      <c r="L36" s="6">
        <v>-4.3310270464552138E-2</v>
      </c>
      <c r="M36" s="6">
        <v>-8.8666152659984745E-3</v>
      </c>
      <c r="N36" s="6">
        <v>-2.3059782677023258E-2</v>
      </c>
      <c r="O36" s="7">
        <v>-8.1350636653305403E-3</v>
      </c>
      <c r="P36" s="7">
        <v>-1.6582823213547304E-3</v>
      </c>
      <c r="Q36" s="7">
        <v>-3.2313282629507806E-2</v>
      </c>
      <c r="R36" s="7">
        <v>-2.2036609205615815E-2</v>
      </c>
      <c r="S36" s="8">
        <v>0.11588469277004991</v>
      </c>
      <c r="T36" s="8">
        <v>9.5544134629190394E-3</v>
      </c>
      <c r="U36" s="8">
        <v>-0.10154151688852288</v>
      </c>
      <c r="W36" s="131">
        <v>-4.7571246315798704E-2</v>
      </c>
      <c r="X36" s="135"/>
      <c r="Y36" s="133"/>
      <c r="CF36" s="118"/>
      <c r="CG36" s="118"/>
      <c r="CH36" s="118"/>
    </row>
    <row r="37" spans="1:86" ht="16" x14ac:dyDescent="0.2">
      <c r="A37" s="9"/>
      <c r="B37" s="5">
        <v>6.6873817887057527E-2</v>
      </c>
      <c r="C37" s="5">
        <v>6.5889508362899238E-2</v>
      </c>
      <c r="D37" s="5">
        <v>4.948095303425263E-2</v>
      </c>
      <c r="E37" s="5">
        <v>7.2737368128817245E-2</v>
      </c>
      <c r="F37" s="5">
        <v>2.4826216484607744E-2</v>
      </c>
      <c r="G37" s="5">
        <v>4.9250120948234194E-2</v>
      </c>
      <c r="H37" s="5">
        <v>9.3041262057618396E-2</v>
      </c>
      <c r="I37" s="5">
        <v>4.5678912445379478E-2</v>
      </c>
      <c r="J37" s="6">
        <v>3.2558139534883665E-2</v>
      </c>
      <c r="K37" s="6">
        <v>1.2997400519895994E-2</v>
      </c>
      <c r="L37" s="6">
        <v>4.2077580539119037E-2</v>
      </c>
      <c r="M37" s="6">
        <v>1.2057565149747131E-2</v>
      </c>
      <c r="N37" s="6">
        <v>2.9674489023467192E-2</v>
      </c>
      <c r="O37" s="7">
        <v>-1.190476190476165E-3</v>
      </c>
      <c r="P37" s="7">
        <v>-6.6889632107023462E-3</v>
      </c>
      <c r="Q37" s="7">
        <v>6.0383631222596084E-3</v>
      </c>
      <c r="R37" s="7">
        <v>-5.088133745229895E-3</v>
      </c>
      <c r="S37" s="8">
        <v>0.11011797391040297</v>
      </c>
      <c r="T37" s="8">
        <v>7.903294436605994E-2</v>
      </c>
      <c r="U37" s="8">
        <v>7.1807680299718929E-2</v>
      </c>
      <c r="W37" s="131">
        <v>6.9143873301234615E-2</v>
      </c>
      <c r="X37" s="135"/>
      <c r="Y37" s="133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CF37" s="118"/>
      <c r="CG37" s="118"/>
      <c r="CH37" s="118"/>
    </row>
    <row r="38" spans="1:86" ht="16" x14ac:dyDescent="0.2">
      <c r="A38" s="78" t="s">
        <v>81</v>
      </c>
      <c r="B38" s="136">
        <f>SLOPE(B2:B37,W2:W37)</f>
        <v>1.0290576355988412</v>
      </c>
      <c r="C38" s="136">
        <f>SLOPE(C$2:C$37,$W$2:$W$37)</f>
        <v>1.1063456286951721</v>
      </c>
      <c r="D38" s="136">
        <f t="shared" ref="D38:U38" si="0">SLOPE(D$2:D$37,$W$2:$W$37)</f>
        <v>1.1927321263043764</v>
      </c>
      <c r="E38" s="136">
        <f t="shared" si="0"/>
        <v>1.1027865640334771</v>
      </c>
      <c r="F38" s="136">
        <f t="shared" si="0"/>
        <v>1.1038458201950989</v>
      </c>
      <c r="G38" s="136">
        <f t="shared" si="0"/>
        <v>0.91877650713083547</v>
      </c>
      <c r="H38" s="136">
        <f t="shared" si="0"/>
        <v>1.2682613293603453</v>
      </c>
      <c r="I38" s="136">
        <f t="shared" si="0"/>
        <v>0.73932411625096528</v>
      </c>
      <c r="J38" s="136">
        <f t="shared" si="0"/>
        <v>0.84071188726284896</v>
      </c>
      <c r="K38" s="136">
        <f t="shared" si="0"/>
        <v>0.75901014376562637</v>
      </c>
      <c r="L38" s="136">
        <f t="shared" si="0"/>
        <v>0.75007607255622177</v>
      </c>
      <c r="M38" s="136">
        <f t="shared" si="0"/>
        <v>0.8992243484041299</v>
      </c>
      <c r="N38" s="136">
        <f t="shared" si="0"/>
        <v>0.88610704858664202</v>
      </c>
      <c r="O38" s="136">
        <f t="shared" si="0"/>
        <v>4.6505112555088705E-2</v>
      </c>
      <c r="P38" s="136">
        <f t="shared" si="0"/>
        <v>0.34283328678221675</v>
      </c>
      <c r="Q38" s="136">
        <f t="shared" si="0"/>
        <v>0.35066218031962643</v>
      </c>
      <c r="R38" s="136">
        <f t="shared" si="0"/>
        <v>0.504858411105917</v>
      </c>
      <c r="S38" s="136">
        <f t="shared" si="0"/>
        <v>1.5198452962327695</v>
      </c>
      <c r="T38" s="136">
        <f t="shared" si="0"/>
        <v>1.7667049878221521</v>
      </c>
      <c r="U38" s="136">
        <f t="shared" si="0"/>
        <v>1.4737244975765866</v>
      </c>
      <c r="W38" s="9"/>
      <c r="X38" s="135"/>
      <c r="Y38" s="133"/>
      <c r="CH38" s="118"/>
    </row>
    <row r="39" spans="1:86" ht="16" x14ac:dyDescent="0.2">
      <c r="A39" s="79" t="s">
        <v>125</v>
      </c>
      <c r="B39" s="137">
        <f>0.02+B38*(0.075-0.02)</f>
        <v>7.6598169957936266E-2</v>
      </c>
      <c r="C39" s="137">
        <f>0.02+C38*(0.075-0.02)</f>
        <v>8.084900957823446E-2</v>
      </c>
      <c r="D39" s="137">
        <f t="shared" ref="D39:U39" si="1">0.02+D38*(0.075-0.02)</f>
        <v>8.5600266946740694E-2</v>
      </c>
      <c r="E39" s="137">
        <f t="shared" si="1"/>
        <v>8.0653261021841227E-2</v>
      </c>
      <c r="F39" s="137">
        <f t="shared" si="1"/>
        <v>8.0711520110730434E-2</v>
      </c>
      <c r="G39" s="137">
        <f>0.02+G38*(0.075-0.02)</f>
        <v>7.0532707892195942E-2</v>
      </c>
      <c r="H39" s="137">
        <f t="shared" si="1"/>
        <v>8.9754373114818986E-2</v>
      </c>
      <c r="I39" s="137">
        <f t="shared" si="1"/>
        <v>6.066282639380309E-2</v>
      </c>
      <c r="J39" s="137">
        <f>0.02+J38*(0.075-0.02)</f>
        <v>6.623915379945669E-2</v>
      </c>
      <c r="K39" s="137">
        <f t="shared" si="1"/>
        <v>6.174555790710945E-2</v>
      </c>
      <c r="L39" s="137">
        <f t="shared" si="1"/>
        <v>6.1254183990592195E-2</v>
      </c>
      <c r="M39" s="137">
        <f t="shared" si="1"/>
        <v>6.9457339162227141E-2</v>
      </c>
      <c r="N39" s="137">
        <f t="shared" si="1"/>
        <v>6.8735887672265308E-2</v>
      </c>
      <c r="O39" s="137">
        <f t="shared" si="1"/>
        <v>2.2557781190529879E-2</v>
      </c>
      <c r="P39" s="137">
        <f t="shared" si="1"/>
        <v>3.8855830773021918E-2</v>
      </c>
      <c r="Q39" s="137">
        <f t="shared" si="1"/>
        <v>3.9286419917579453E-2</v>
      </c>
      <c r="R39" s="137">
        <f t="shared" si="1"/>
        <v>4.7767212610825435E-2</v>
      </c>
      <c r="S39" s="137">
        <f t="shared" si="1"/>
        <v>0.10359149129280232</v>
      </c>
      <c r="T39" s="137">
        <f t="shared" si="1"/>
        <v>0.11716877433021836</v>
      </c>
      <c r="U39" s="137">
        <f t="shared" si="1"/>
        <v>0.10105484736671226</v>
      </c>
      <c r="X39" s="135"/>
    </row>
    <row r="40" spans="1:86" ht="17" thickBot="1" x14ac:dyDescent="0.25"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CG40" s="118"/>
    </row>
    <row r="41" spans="1:86" ht="17" thickBot="1" x14ac:dyDescent="0.25">
      <c r="A41" s="102" t="s">
        <v>78</v>
      </c>
      <c r="B41" s="103" t="s">
        <v>77</v>
      </c>
      <c r="C41" s="104" t="s">
        <v>45</v>
      </c>
      <c r="D41" s="104" t="s">
        <v>44</v>
      </c>
      <c r="E41" s="104" t="s">
        <v>76</v>
      </c>
      <c r="F41" s="104" t="s">
        <v>45</v>
      </c>
      <c r="G41" s="104" t="s">
        <v>44</v>
      </c>
      <c r="H41" s="104" t="s">
        <v>75</v>
      </c>
      <c r="I41" s="104" t="s">
        <v>45</v>
      </c>
      <c r="J41" s="104" t="s">
        <v>44</v>
      </c>
      <c r="K41" s="104" t="s">
        <v>74</v>
      </c>
      <c r="L41" s="104" t="s">
        <v>45</v>
      </c>
      <c r="M41" s="105" t="s">
        <v>44</v>
      </c>
      <c r="N41" s="105" t="s">
        <v>73</v>
      </c>
      <c r="O41" s="104" t="s">
        <v>45</v>
      </c>
      <c r="P41" s="104" t="s">
        <v>44</v>
      </c>
      <c r="Q41" s="104" t="s">
        <v>72</v>
      </c>
      <c r="R41" s="104" t="s">
        <v>45</v>
      </c>
      <c r="S41" s="104" t="s">
        <v>44</v>
      </c>
      <c r="T41" s="104" t="s">
        <v>71</v>
      </c>
      <c r="U41" s="104" t="s">
        <v>45</v>
      </c>
      <c r="V41" s="106" t="s">
        <v>44</v>
      </c>
      <c r="W41" s="104" t="s">
        <v>70</v>
      </c>
      <c r="X41" s="104" t="s">
        <v>45</v>
      </c>
      <c r="Y41" s="107" t="s">
        <v>44</v>
      </c>
      <c r="Z41" s="108" t="s">
        <v>69</v>
      </c>
      <c r="AA41" s="109" t="s">
        <v>68</v>
      </c>
      <c r="AB41" s="110" t="s">
        <v>45</v>
      </c>
      <c r="AC41" s="110" t="s">
        <v>44</v>
      </c>
      <c r="AD41" s="110" t="s">
        <v>67</v>
      </c>
      <c r="AE41" s="110" t="s">
        <v>45</v>
      </c>
      <c r="AF41" s="110" t="s">
        <v>44</v>
      </c>
      <c r="AG41" s="110" t="s">
        <v>66</v>
      </c>
      <c r="AH41" s="110" t="s">
        <v>45</v>
      </c>
      <c r="AI41" s="110" t="s">
        <v>44</v>
      </c>
      <c r="AJ41" s="110" t="s">
        <v>65</v>
      </c>
      <c r="AK41" s="110" t="s">
        <v>45</v>
      </c>
      <c r="AL41" s="110" t="s">
        <v>44</v>
      </c>
      <c r="AM41" s="110" t="s">
        <v>64</v>
      </c>
      <c r="AN41" s="110" t="s">
        <v>45</v>
      </c>
      <c r="AO41" s="110" t="s">
        <v>44</v>
      </c>
      <c r="AP41" s="111"/>
      <c r="AQ41" s="111"/>
      <c r="AR41" s="111"/>
      <c r="AS41" s="9"/>
      <c r="AT41" s="9"/>
      <c r="AU41" s="118"/>
      <c r="AV41" s="9"/>
      <c r="AW41" s="9"/>
      <c r="AX41" s="118"/>
      <c r="AY41" s="9"/>
      <c r="AZ41" s="9"/>
      <c r="BA41" s="118"/>
      <c r="BB41" s="118"/>
      <c r="BC41" s="118"/>
      <c r="BD41" s="118"/>
      <c r="BF41" s="9"/>
      <c r="BG41" s="118"/>
      <c r="BH41" s="9"/>
      <c r="BI41" s="9"/>
      <c r="BJ41" s="118"/>
      <c r="BK41" s="9"/>
      <c r="BL41" s="9"/>
      <c r="BM41" s="118"/>
      <c r="BN41" s="118"/>
      <c r="BO41" s="118"/>
      <c r="BP41" s="9"/>
      <c r="BQ41" s="9"/>
      <c r="BR41" s="118"/>
      <c r="BS41" s="9"/>
      <c r="BT41" s="9"/>
      <c r="BU41" s="118"/>
      <c r="BV41" s="9"/>
      <c r="BW41" s="9"/>
      <c r="BX41" s="118"/>
      <c r="BY41" s="118"/>
      <c r="BZ41" s="118"/>
      <c r="CA41" s="9"/>
      <c r="CB41" s="118"/>
      <c r="CC41" s="118"/>
      <c r="CD41" s="9"/>
      <c r="CE41" s="9"/>
      <c r="CF41" s="132"/>
    </row>
    <row r="42" spans="1:86" ht="16" x14ac:dyDescent="0.2">
      <c r="A42" s="77"/>
      <c r="B42" s="112">
        <v>43404</v>
      </c>
      <c r="C42" s="113">
        <v>131.523</v>
      </c>
      <c r="D42" s="114"/>
      <c r="E42" s="112">
        <v>43404</v>
      </c>
      <c r="F42" s="113">
        <v>143.5993</v>
      </c>
      <c r="G42" s="112"/>
      <c r="H42" s="112">
        <v>43404</v>
      </c>
      <c r="I42" s="113">
        <v>140.11600000000001</v>
      </c>
      <c r="J42" s="112"/>
      <c r="K42" s="112">
        <v>43404</v>
      </c>
      <c r="L42" s="113">
        <v>30.442309999999999</v>
      </c>
      <c r="M42" s="112"/>
      <c r="N42" s="112">
        <v>43404</v>
      </c>
      <c r="O42" s="113">
        <v>76.193330000000003</v>
      </c>
      <c r="P42" s="112"/>
      <c r="Q42" s="112">
        <v>43404</v>
      </c>
      <c r="R42" s="113">
        <v>75.494529999999997</v>
      </c>
      <c r="S42" s="112"/>
      <c r="T42" s="112">
        <v>43404</v>
      </c>
      <c r="U42" s="113">
        <v>155.0548</v>
      </c>
      <c r="V42" s="112"/>
      <c r="W42" s="112">
        <v>43404</v>
      </c>
      <c r="X42" s="113">
        <v>158.86000000000001</v>
      </c>
      <c r="Y42" s="115"/>
      <c r="Z42" s="77"/>
      <c r="AA42" s="116">
        <v>43404</v>
      </c>
      <c r="AB42" s="117">
        <v>28.052250000000001</v>
      </c>
      <c r="AC42" s="116"/>
      <c r="AD42" s="116">
        <v>43404</v>
      </c>
      <c r="AE42" s="117">
        <v>35.003259999999997</v>
      </c>
      <c r="AF42" s="116"/>
      <c r="AG42" s="116">
        <v>43404</v>
      </c>
      <c r="AH42" s="117">
        <v>69.648030000000006</v>
      </c>
      <c r="AI42" s="116"/>
      <c r="AJ42" s="116">
        <v>43404</v>
      </c>
      <c r="AK42" s="117">
        <v>21.836510000000001</v>
      </c>
      <c r="AL42" s="116"/>
      <c r="AM42" s="116">
        <v>43404</v>
      </c>
      <c r="AN42" s="117">
        <v>52.149610000000003</v>
      </c>
      <c r="AO42" s="117"/>
      <c r="AP42" s="118"/>
      <c r="AQ42" s="9"/>
      <c r="AR42" s="118"/>
      <c r="AS42" s="138"/>
      <c r="AT42" s="9"/>
      <c r="AU42" s="118"/>
      <c r="AV42" s="138"/>
      <c r="AW42" s="9"/>
      <c r="AX42" s="118"/>
      <c r="AY42" s="138"/>
      <c r="AZ42" s="9"/>
      <c r="BA42" s="118"/>
      <c r="BB42" s="139"/>
      <c r="BC42" s="118"/>
      <c r="BD42" s="118"/>
      <c r="BE42" s="138"/>
      <c r="BF42" s="9"/>
      <c r="BG42" s="118"/>
      <c r="BH42" s="138"/>
      <c r="BI42" s="9"/>
      <c r="BJ42" s="118"/>
      <c r="BK42" s="138"/>
      <c r="BL42" s="9"/>
      <c r="BM42" s="118"/>
      <c r="BN42" s="139"/>
      <c r="BO42" s="118"/>
      <c r="BP42" s="138"/>
      <c r="BQ42" s="9"/>
      <c r="BR42" s="118"/>
      <c r="BS42" s="138"/>
      <c r="BT42" s="9"/>
      <c r="BU42" s="118"/>
      <c r="BV42" s="138"/>
      <c r="BW42" s="9"/>
      <c r="BX42" s="118"/>
      <c r="BY42" s="139"/>
      <c r="BZ42" s="118"/>
      <c r="CA42" s="9"/>
      <c r="CB42" s="118"/>
      <c r="CC42" s="139"/>
      <c r="CD42" s="9"/>
      <c r="CE42" s="9"/>
      <c r="CF42" s="132"/>
      <c r="CG42" s="133"/>
    </row>
    <row r="43" spans="1:86" ht="16" x14ac:dyDescent="0.2">
      <c r="A43" s="77"/>
      <c r="B43" s="112">
        <v>43434</v>
      </c>
      <c r="C43" s="113">
        <v>134.1713</v>
      </c>
      <c r="D43" s="119">
        <f t="shared" ref="D43:D78" si="2">(C43-C42)/C42</f>
        <v>2.013564167484019E-2</v>
      </c>
      <c r="E43" s="112">
        <v>43434</v>
      </c>
      <c r="F43" s="113">
        <v>146.95849999999999</v>
      </c>
      <c r="G43" s="119">
        <f t="shared" ref="G43:G78" si="3">(F43-F42)/F42</f>
        <v>2.3392871692271392E-2</v>
      </c>
      <c r="H43" s="112">
        <v>43434</v>
      </c>
      <c r="I43" s="113">
        <v>143.18430000000001</v>
      </c>
      <c r="J43" s="119">
        <f t="shared" ref="J43:J78" si="4">(I43-I42)/I42</f>
        <v>2.1898284278740424E-2</v>
      </c>
      <c r="K43" s="112">
        <v>43434</v>
      </c>
      <c r="L43" s="113">
        <v>31.254000000000001</v>
      </c>
      <c r="M43" s="119">
        <f t="shared" ref="M43:M78" si="5">(L43-L42)/L42</f>
        <v>2.6663219709673881E-2</v>
      </c>
      <c r="N43" s="112">
        <v>43434</v>
      </c>
      <c r="O43" s="113">
        <v>75.741659999999996</v>
      </c>
      <c r="P43" s="119">
        <f t="shared" ref="P43:P78" si="6">(O43-O42)/O42</f>
        <v>-5.9279467113460861E-3</v>
      </c>
      <c r="Q43" s="112">
        <v>43434</v>
      </c>
      <c r="R43" s="113">
        <v>78.178439999999995</v>
      </c>
      <c r="S43" s="119">
        <f t="shared" ref="S43:S78" si="7">(R43-R42)/R42</f>
        <v>3.5551052506718001E-2</v>
      </c>
      <c r="T43" s="112">
        <v>43434</v>
      </c>
      <c r="U43" s="113">
        <v>158.6634</v>
      </c>
      <c r="V43" s="119">
        <f t="shared" ref="V43:V78" si="8">(U43-U42)/U42</f>
        <v>2.3273062168987967E-2</v>
      </c>
      <c r="W43" s="112">
        <v>43434</v>
      </c>
      <c r="X43" s="113">
        <v>169.22929999999999</v>
      </c>
      <c r="Y43" s="120">
        <f t="shared" ref="Y43:Y78" si="9">(X43-X42)/X42</f>
        <v>6.527319652524223E-2</v>
      </c>
      <c r="Z43" s="77"/>
      <c r="AA43" s="121">
        <v>43434</v>
      </c>
      <c r="AB43" s="122">
        <v>28.198399999999999</v>
      </c>
      <c r="AC43" s="123">
        <f t="shared" ref="AC43:AC78" si="10">(AB43-AB42)/AB42</f>
        <v>5.2099207728434852E-3</v>
      </c>
      <c r="AD43" s="121">
        <v>43434</v>
      </c>
      <c r="AE43" s="122">
        <v>36.695169999999997</v>
      </c>
      <c r="AF43" s="123">
        <f t="shared" ref="AF43:AF78" si="11">(AE43-AE42)/AE42</f>
        <v>4.8335783581300716E-2</v>
      </c>
      <c r="AG43" s="121">
        <v>43434</v>
      </c>
      <c r="AH43" s="122">
        <v>70.165859999999995</v>
      </c>
      <c r="AI43" s="123">
        <f t="shared" ref="AI43:AI78" si="12">(AH43-AH42)/AH42</f>
        <v>7.4349554466937445E-3</v>
      </c>
      <c r="AJ43" s="121">
        <v>43434</v>
      </c>
      <c r="AK43" s="122">
        <v>21.76286</v>
      </c>
      <c r="AL43" s="123">
        <f t="shared" ref="AL43:AL78" si="13">(AK43-AK42)/AK42</f>
        <v>-3.3727917144269234E-3</v>
      </c>
      <c r="AM43" s="121">
        <v>43434</v>
      </c>
      <c r="AN43" s="122">
        <v>52.611339999999998</v>
      </c>
      <c r="AO43" s="124">
        <f t="shared" ref="AO43:AO78" si="14">(AN43-AN42)/AN42</f>
        <v>8.8539492433403772E-3</v>
      </c>
      <c r="AP43" s="118"/>
      <c r="AQ43" s="9"/>
      <c r="AR43" s="118"/>
      <c r="AS43" s="138"/>
      <c r="AT43" s="9"/>
      <c r="AU43" s="118"/>
      <c r="AV43" s="138"/>
      <c r="AW43" s="9"/>
      <c r="AX43" s="118"/>
      <c r="AY43" s="138"/>
      <c r="AZ43" s="9"/>
      <c r="BA43" s="118"/>
      <c r="BB43" s="139"/>
      <c r="BC43" s="118"/>
      <c r="BD43" s="118"/>
      <c r="BE43" s="138"/>
      <c r="BF43" s="9"/>
      <c r="BG43" s="118"/>
      <c r="BH43" s="138"/>
      <c r="BI43" s="9"/>
      <c r="BJ43" s="118"/>
      <c r="BK43" s="138"/>
      <c r="BL43" s="9"/>
      <c r="BM43" s="118"/>
      <c r="BN43" s="139"/>
      <c r="BO43" s="118"/>
      <c r="BP43" s="138"/>
      <c r="BQ43" s="9"/>
      <c r="BR43" s="118"/>
      <c r="BS43" s="138"/>
      <c r="BT43" s="9"/>
      <c r="BU43" s="118"/>
      <c r="BV43" s="138"/>
      <c r="BW43" s="9"/>
      <c r="BX43" s="118"/>
      <c r="BY43" s="139"/>
      <c r="BZ43" s="118"/>
      <c r="CA43" s="9"/>
      <c r="CB43" s="118"/>
      <c r="CC43" s="139"/>
      <c r="CD43" s="9"/>
      <c r="CE43" s="9"/>
      <c r="CF43" s="132"/>
      <c r="CG43" s="133"/>
    </row>
    <row r="44" spans="1:86" ht="16" x14ac:dyDescent="0.2">
      <c r="A44" s="77"/>
      <c r="B44" s="112">
        <v>43465</v>
      </c>
      <c r="C44" s="113">
        <v>121.8596</v>
      </c>
      <c r="D44" s="119">
        <f t="shared" si="2"/>
        <v>-9.1761054711402529E-2</v>
      </c>
      <c r="E44" s="112">
        <v>43465</v>
      </c>
      <c r="F44" s="113">
        <v>132.55279999999999</v>
      </c>
      <c r="G44" s="119">
        <f t="shared" si="3"/>
        <v>-9.8025633086891856E-2</v>
      </c>
      <c r="H44" s="112">
        <v>43465</v>
      </c>
      <c r="I44" s="113">
        <v>127.2735</v>
      </c>
      <c r="J44" s="119">
        <f t="shared" si="4"/>
        <v>-0.111121121519608</v>
      </c>
      <c r="K44" s="112">
        <v>43465</v>
      </c>
      <c r="L44" s="113">
        <v>28.414400000000001</v>
      </c>
      <c r="M44" s="119">
        <f t="shared" si="5"/>
        <v>-9.0855570486977691E-2</v>
      </c>
      <c r="N44" s="112">
        <v>43465</v>
      </c>
      <c r="O44" s="113">
        <v>67.370450000000005</v>
      </c>
      <c r="P44" s="119">
        <f t="shared" si="6"/>
        <v>-0.11052319159627597</v>
      </c>
      <c r="Q44" s="112">
        <v>43465</v>
      </c>
      <c r="R44" s="113">
        <v>71.404470000000003</v>
      </c>
      <c r="S44" s="119">
        <f t="shared" si="7"/>
        <v>-8.664754630560538E-2</v>
      </c>
      <c r="T44" s="112">
        <v>43465</v>
      </c>
      <c r="U44" s="113">
        <v>144.5813</v>
      </c>
      <c r="V44" s="119">
        <f t="shared" si="8"/>
        <v>-8.8754558392168559E-2</v>
      </c>
      <c r="W44" s="112">
        <v>43465</v>
      </c>
      <c r="X44" s="113">
        <v>153.7638</v>
      </c>
      <c r="Y44" s="120">
        <f t="shared" si="9"/>
        <v>-9.1387838867146479E-2</v>
      </c>
      <c r="Z44" s="77"/>
      <c r="AA44" s="121">
        <v>43465</v>
      </c>
      <c r="AB44" s="122">
        <v>26.675039999999999</v>
      </c>
      <c r="AC44" s="123">
        <f t="shared" si="10"/>
        <v>-5.4022923286427611E-2</v>
      </c>
      <c r="AD44" s="121">
        <v>43465</v>
      </c>
      <c r="AE44" s="122">
        <v>35.46772</v>
      </c>
      <c r="AF44" s="123">
        <f t="shared" si="11"/>
        <v>-3.3449906350072708E-2</v>
      </c>
      <c r="AG44" s="121">
        <v>43465</v>
      </c>
      <c r="AH44" s="122">
        <v>66.623189999999994</v>
      </c>
      <c r="AI44" s="123">
        <f t="shared" si="12"/>
        <v>-5.0489939124240782E-2</v>
      </c>
      <c r="AJ44" s="121">
        <v>43465</v>
      </c>
      <c r="AK44" s="122">
        <v>20.394909999999999</v>
      </c>
      <c r="AL44" s="123">
        <f t="shared" si="13"/>
        <v>-6.2857087717331298E-2</v>
      </c>
      <c r="AM44" s="121">
        <v>43465</v>
      </c>
      <c r="AN44" s="122">
        <v>50.424460000000003</v>
      </c>
      <c r="AO44" s="124">
        <f t="shared" si="14"/>
        <v>-4.1566704060379288E-2</v>
      </c>
      <c r="AP44" s="118"/>
      <c r="AQ44" s="9"/>
      <c r="AR44" s="118"/>
      <c r="AS44" s="138"/>
      <c r="AT44" s="9"/>
      <c r="AU44" s="118"/>
      <c r="AV44" s="138"/>
      <c r="AW44" s="9"/>
      <c r="AX44" s="118"/>
      <c r="AY44" s="138"/>
      <c r="AZ44" s="9"/>
      <c r="BA44" s="118"/>
      <c r="BB44" s="139"/>
      <c r="BC44" s="118"/>
      <c r="BD44" s="118"/>
      <c r="BE44" s="138"/>
      <c r="BF44" s="9"/>
      <c r="BG44" s="118"/>
      <c r="BH44" s="138"/>
      <c r="BI44" s="9"/>
      <c r="BJ44" s="118"/>
      <c r="BK44" s="138"/>
      <c r="BL44" s="9"/>
      <c r="BM44" s="118"/>
      <c r="BN44" s="139"/>
      <c r="BO44" s="118"/>
      <c r="BP44" s="138"/>
      <c r="BQ44" s="9"/>
      <c r="BR44" s="118"/>
      <c r="BS44" s="138"/>
      <c r="BT44" s="9"/>
      <c r="BU44" s="118"/>
      <c r="BV44" s="138"/>
      <c r="BW44" s="9"/>
      <c r="BX44" s="118"/>
      <c r="BY44" s="139"/>
      <c r="BZ44" s="118"/>
      <c r="CA44" s="9"/>
      <c r="CB44" s="118"/>
      <c r="CC44" s="139"/>
      <c r="CD44" s="9"/>
      <c r="CE44" s="9"/>
      <c r="CF44" s="132"/>
      <c r="CG44" s="133"/>
    </row>
    <row r="45" spans="1:86" ht="16" x14ac:dyDescent="0.2">
      <c r="A45" s="77"/>
      <c r="B45" s="112">
        <v>43496</v>
      </c>
      <c r="C45" s="113">
        <v>132.26669999999999</v>
      </c>
      <c r="D45" s="119">
        <f t="shared" si="2"/>
        <v>8.5402381100873351E-2</v>
      </c>
      <c r="E45" s="112">
        <v>43496</v>
      </c>
      <c r="F45" s="113">
        <v>146.43350000000001</v>
      </c>
      <c r="G45" s="119">
        <f t="shared" si="3"/>
        <v>0.10471827075701169</v>
      </c>
      <c r="H45" s="112">
        <v>43496</v>
      </c>
      <c r="I45" s="113">
        <v>142.18100000000001</v>
      </c>
      <c r="J45" s="119">
        <f t="shared" si="4"/>
        <v>0.11712964599857797</v>
      </c>
      <c r="K45" s="112">
        <v>43496</v>
      </c>
      <c r="L45" s="113">
        <v>31.106819999999999</v>
      </c>
      <c r="M45" s="119">
        <f t="shared" si="5"/>
        <v>9.4755476096627003E-2</v>
      </c>
      <c r="N45" s="112">
        <v>43496</v>
      </c>
      <c r="O45" s="113">
        <v>73.998859999999993</v>
      </c>
      <c r="P45" s="119">
        <f t="shared" si="6"/>
        <v>9.8387497782781441E-2</v>
      </c>
      <c r="Q45" s="112">
        <v>43496</v>
      </c>
      <c r="R45" s="113">
        <v>75.762540000000001</v>
      </c>
      <c r="S45" s="119">
        <f t="shared" si="7"/>
        <v>6.1033573948521679E-2</v>
      </c>
      <c r="T45" s="112">
        <v>43496</v>
      </c>
      <c r="U45" s="113">
        <v>159.16249999999999</v>
      </c>
      <c r="V45" s="119">
        <f t="shared" si="8"/>
        <v>0.10085121658195075</v>
      </c>
      <c r="W45" s="112">
        <v>43496</v>
      </c>
      <c r="X45" s="113">
        <v>162.88820000000001</v>
      </c>
      <c r="Y45" s="120">
        <f t="shared" si="9"/>
        <v>5.9340364897329592E-2</v>
      </c>
      <c r="Z45" s="77"/>
      <c r="AA45" s="121">
        <v>43496</v>
      </c>
      <c r="AB45" s="122">
        <v>28.59451</v>
      </c>
      <c r="AC45" s="123">
        <f t="shared" si="10"/>
        <v>7.1957530335474681E-2</v>
      </c>
      <c r="AD45" s="121">
        <v>43496</v>
      </c>
      <c r="AE45" s="122">
        <v>38.893470000000001</v>
      </c>
      <c r="AF45" s="123">
        <f t="shared" si="11"/>
        <v>9.658782690288524E-2</v>
      </c>
      <c r="AG45" s="121">
        <v>43496</v>
      </c>
      <c r="AH45" s="122">
        <v>70.732290000000006</v>
      </c>
      <c r="AI45" s="123">
        <f t="shared" si="12"/>
        <v>6.1676722474561976E-2</v>
      </c>
      <c r="AJ45" s="121">
        <v>43496</v>
      </c>
      <c r="AK45" s="122">
        <v>22.036200000000001</v>
      </c>
      <c r="AL45" s="123">
        <f t="shared" si="13"/>
        <v>8.0475471575996244E-2</v>
      </c>
      <c r="AM45" s="121">
        <v>43496</v>
      </c>
      <c r="AN45" s="122">
        <v>53.973089999999999</v>
      </c>
      <c r="AO45" s="124">
        <f t="shared" si="14"/>
        <v>7.0375171097518854E-2</v>
      </c>
      <c r="AP45" s="118"/>
      <c r="AQ45" s="9"/>
      <c r="AR45" s="118"/>
      <c r="AS45" s="138"/>
      <c r="AT45" s="9"/>
      <c r="AU45" s="118"/>
      <c r="AV45" s="138"/>
      <c r="AW45" s="9"/>
      <c r="AX45" s="118"/>
      <c r="AY45" s="138"/>
      <c r="AZ45" s="9"/>
      <c r="BA45" s="118"/>
      <c r="BB45" s="139"/>
      <c r="BC45" s="118"/>
      <c r="BD45" s="118"/>
      <c r="BE45" s="138"/>
      <c r="BF45" s="9"/>
      <c r="BG45" s="118"/>
      <c r="BH45" s="138"/>
      <c r="BI45" s="9"/>
      <c r="BJ45" s="118"/>
      <c r="BK45" s="138"/>
      <c r="BL45" s="9"/>
      <c r="BM45" s="118"/>
      <c r="BN45" s="139"/>
      <c r="BO45" s="118"/>
      <c r="BP45" s="138"/>
      <c r="BQ45" s="9"/>
      <c r="BR45" s="118"/>
      <c r="BS45" s="138"/>
      <c r="BT45" s="9"/>
      <c r="BU45" s="118"/>
      <c r="BV45" s="138"/>
      <c r="BW45" s="9"/>
      <c r="BX45" s="118"/>
      <c r="BY45" s="139"/>
      <c r="BZ45" s="118"/>
      <c r="CA45" s="9"/>
      <c r="CB45" s="118"/>
      <c r="CC45" s="139"/>
      <c r="CD45" s="9"/>
      <c r="CE45" s="9"/>
      <c r="CF45" s="132"/>
      <c r="CG45" s="133"/>
    </row>
    <row r="46" spans="1:86" ht="16" x14ac:dyDescent="0.2">
      <c r="A46" s="77"/>
      <c r="B46" s="112">
        <v>43524</v>
      </c>
      <c r="C46" s="113">
        <v>136.97380000000001</v>
      </c>
      <c r="D46" s="119">
        <f t="shared" si="2"/>
        <v>3.5587944660296397E-2</v>
      </c>
      <c r="E46" s="112">
        <v>43524</v>
      </c>
      <c r="F46" s="113">
        <v>152.6688</v>
      </c>
      <c r="G46" s="119">
        <f t="shared" si="3"/>
        <v>4.2581103367740271E-2</v>
      </c>
      <c r="H46" s="112">
        <v>43524</v>
      </c>
      <c r="I46" s="113">
        <v>149.08519999999999</v>
      </c>
      <c r="J46" s="119">
        <f t="shared" si="4"/>
        <v>4.8559230839563469E-2</v>
      </c>
      <c r="K46" s="112">
        <v>43524</v>
      </c>
      <c r="L46" s="113">
        <v>32.478439999999999</v>
      </c>
      <c r="M46" s="119">
        <f t="shared" si="5"/>
        <v>4.4093867518441299E-2</v>
      </c>
      <c r="N46" s="112">
        <v>43524</v>
      </c>
      <c r="O46" s="113">
        <v>75.400670000000005</v>
      </c>
      <c r="P46" s="119">
        <f t="shared" si="6"/>
        <v>1.8943670213298042E-2</v>
      </c>
      <c r="Q46" s="112">
        <v>43524</v>
      </c>
      <c r="R46" s="113">
        <v>78.619079999999997</v>
      </c>
      <c r="S46" s="119">
        <f t="shared" si="7"/>
        <v>3.7703857341636053E-2</v>
      </c>
      <c r="T46" s="112">
        <v>43524</v>
      </c>
      <c r="U46" s="113">
        <v>161.55420000000001</v>
      </c>
      <c r="V46" s="119">
        <f t="shared" si="8"/>
        <v>1.5026780805780347E-2</v>
      </c>
      <c r="W46" s="112">
        <v>43524</v>
      </c>
      <c r="X46" s="113">
        <v>165.55940000000001</v>
      </c>
      <c r="Y46" s="120">
        <f t="shared" si="9"/>
        <v>1.639897794929282E-2</v>
      </c>
      <c r="Z46" s="77"/>
      <c r="AA46" s="121">
        <v>43524</v>
      </c>
      <c r="AB46" s="122">
        <v>29.281379999999999</v>
      </c>
      <c r="AC46" s="123">
        <f t="shared" si="10"/>
        <v>2.4021044599120564E-2</v>
      </c>
      <c r="AD46" s="121">
        <v>43524</v>
      </c>
      <c r="AE46" s="122">
        <v>38.744520000000001</v>
      </c>
      <c r="AF46" s="123">
        <f t="shared" si="11"/>
        <v>-3.8296917194582856E-3</v>
      </c>
      <c r="AG46" s="121">
        <v>43524</v>
      </c>
      <c r="AH46" s="122">
        <v>73.095489999999998</v>
      </c>
      <c r="AI46" s="123">
        <f t="shared" si="12"/>
        <v>3.3410483387431564E-2</v>
      </c>
      <c r="AJ46" s="121">
        <v>43524</v>
      </c>
      <c r="AK46" s="122">
        <v>22.16675</v>
      </c>
      <c r="AL46" s="123">
        <f t="shared" si="13"/>
        <v>5.9243426725115716E-3</v>
      </c>
      <c r="AM46" s="121">
        <v>43524</v>
      </c>
      <c r="AN46" s="122">
        <v>54.815440000000002</v>
      </c>
      <c r="AO46" s="124">
        <f t="shared" si="14"/>
        <v>1.5606851488399187E-2</v>
      </c>
      <c r="AP46" s="118"/>
      <c r="AQ46" s="9"/>
      <c r="AR46" s="118"/>
      <c r="AS46" s="138"/>
      <c r="AT46" s="9"/>
      <c r="AU46" s="118"/>
      <c r="AV46" s="138"/>
      <c r="AW46" s="9"/>
      <c r="AX46" s="118"/>
      <c r="AY46" s="138"/>
      <c r="AZ46" s="9"/>
      <c r="BA46" s="118"/>
      <c r="BB46" s="139"/>
      <c r="BC46" s="118"/>
      <c r="BD46" s="118"/>
      <c r="BE46" s="138"/>
      <c r="BF46" s="9"/>
      <c r="BG46" s="118"/>
      <c r="BH46" s="138"/>
      <c r="BI46" s="9"/>
      <c r="BJ46" s="118"/>
      <c r="BK46" s="138"/>
      <c r="BL46" s="9"/>
      <c r="BM46" s="118"/>
      <c r="BN46" s="139"/>
      <c r="BO46" s="118"/>
      <c r="BP46" s="138"/>
      <c r="BQ46" s="9"/>
      <c r="BR46" s="118"/>
      <c r="BS46" s="138"/>
      <c r="BT46" s="9"/>
      <c r="BU46" s="118"/>
      <c r="BV46" s="138"/>
      <c r="BW46" s="9"/>
      <c r="BX46" s="118"/>
      <c r="BY46" s="139"/>
      <c r="BZ46" s="118"/>
      <c r="CA46" s="9"/>
      <c r="CB46" s="118"/>
      <c r="CC46" s="139"/>
      <c r="CD46" s="9"/>
      <c r="CE46" s="9"/>
      <c r="CF46" s="132"/>
      <c r="CG46" s="133"/>
    </row>
    <row r="47" spans="1:86" ht="16" x14ac:dyDescent="0.2">
      <c r="A47" s="77"/>
      <c r="B47" s="112">
        <v>43553</v>
      </c>
      <c r="C47" s="113">
        <v>138.9144</v>
      </c>
      <c r="D47" s="119">
        <f t="shared" si="2"/>
        <v>1.4167672941832592E-2</v>
      </c>
      <c r="E47" s="112">
        <v>43553</v>
      </c>
      <c r="F47" s="113">
        <v>154.73429999999999</v>
      </c>
      <c r="G47" s="119">
        <f t="shared" si="3"/>
        <v>1.3529286926994814E-2</v>
      </c>
      <c r="H47" s="112">
        <v>43553</v>
      </c>
      <c r="I47" s="113">
        <v>147.80600000000001</v>
      </c>
      <c r="J47" s="119">
        <f t="shared" si="4"/>
        <v>-8.5803285638009312E-3</v>
      </c>
      <c r="K47" s="112">
        <v>43553</v>
      </c>
      <c r="L47" s="113">
        <v>33.020299999999999</v>
      </c>
      <c r="M47" s="119">
        <f t="shared" si="5"/>
        <v>1.6683683083300791E-2</v>
      </c>
      <c r="N47" s="112">
        <v>43553</v>
      </c>
      <c r="O47" s="113">
        <v>74.682789999999997</v>
      </c>
      <c r="P47" s="119">
        <f t="shared" si="6"/>
        <v>-9.5208703052639728E-3</v>
      </c>
      <c r="Q47" s="112">
        <v>43553</v>
      </c>
      <c r="R47" s="113">
        <v>79.030680000000004</v>
      </c>
      <c r="S47" s="119">
        <f t="shared" si="7"/>
        <v>5.2353703452140002E-3</v>
      </c>
      <c r="T47" s="112">
        <v>43553</v>
      </c>
      <c r="U47" s="113">
        <v>166.02520000000001</v>
      </c>
      <c r="V47" s="119">
        <f t="shared" si="8"/>
        <v>2.7674922719434118E-2</v>
      </c>
      <c r="W47" s="112">
        <v>43553</v>
      </c>
      <c r="X47" s="113">
        <v>166.19290000000001</v>
      </c>
      <c r="Y47" s="120">
        <f t="shared" si="9"/>
        <v>3.8264212119637903E-3</v>
      </c>
      <c r="Z47" s="77"/>
      <c r="AA47" s="121">
        <v>43553</v>
      </c>
      <c r="AB47" s="122">
        <v>29.460159999999998</v>
      </c>
      <c r="AC47" s="123">
        <f t="shared" si="10"/>
        <v>6.1055865536391975E-3</v>
      </c>
      <c r="AD47" s="121">
        <v>43553</v>
      </c>
      <c r="AE47" s="122">
        <v>39.641390000000001</v>
      </c>
      <c r="AF47" s="123">
        <f t="shared" si="11"/>
        <v>2.3148305876547183E-2</v>
      </c>
      <c r="AG47" s="121">
        <v>43553</v>
      </c>
      <c r="AH47" s="122">
        <v>74.706320000000005</v>
      </c>
      <c r="AI47" s="123">
        <f t="shared" si="12"/>
        <v>2.2037337734516962E-2</v>
      </c>
      <c r="AJ47" s="121">
        <v>43553</v>
      </c>
      <c r="AK47" s="122">
        <v>22.14997</v>
      </c>
      <c r="AL47" s="123">
        <f t="shared" si="13"/>
        <v>-7.5698963537734146E-4</v>
      </c>
      <c r="AM47" s="121">
        <v>43553</v>
      </c>
      <c r="AN47" s="122">
        <v>54.93394</v>
      </c>
      <c r="AO47" s="124">
        <f t="shared" si="14"/>
        <v>2.1617996681226564E-3</v>
      </c>
      <c r="AP47" s="118"/>
      <c r="AQ47" s="9"/>
      <c r="AR47" s="118"/>
      <c r="AS47" s="138"/>
      <c r="AT47" s="9"/>
      <c r="AU47" s="118"/>
      <c r="AV47" s="138"/>
      <c r="AW47" s="9"/>
      <c r="AX47" s="118"/>
      <c r="AY47" s="138"/>
      <c r="AZ47" s="9"/>
      <c r="BA47" s="118"/>
      <c r="BB47" s="139"/>
      <c r="BC47" s="118"/>
      <c r="BD47" s="118"/>
      <c r="BE47" s="138"/>
      <c r="BF47" s="9"/>
      <c r="BG47" s="118"/>
      <c r="BH47" s="138"/>
      <c r="BI47" s="9"/>
      <c r="BJ47" s="118"/>
      <c r="BK47" s="138"/>
      <c r="BL47" s="9"/>
      <c r="BM47" s="118"/>
      <c r="BN47" s="139"/>
      <c r="BO47" s="118"/>
      <c r="BP47" s="138"/>
      <c r="BQ47" s="9"/>
      <c r="BR47" s="118"/>
      <c r="BS47" s="138"/>
      <c r="BT47" s="9"/>
      <c r="BU47" s="118"/>
      <c r="BV47" s="138"/>
      <c r="BW47" s="9"/>
      <c r="BX47" s="118"/>
      <c r="BY47" s="139"/>
      <c r="BZ47" s="118"/>
      <c r="CA47" s="9"/>
      <c r="CB47" s="118"/>
      <c r="CC47" s="139"/>
      <c r="CD47" s="9"/>
      <c r="CE47" s="9"/>
      <c r="CF47" s="134"/>
      <c r="CG47" s="133"/>
    </row>
    <row r="48" spans="1:86" ht="16" x14ac:dyDescent="0.2">
      <c r="A48" s="77"/>
      <c r="B48" s="112">
        <v>43585</v>
      </c>
      <c r="C48" s="113">
        <v>144.36689999999999</v>
      </c>
      <c r="D48" s="119">
        <f t="shared" si="2"/>
        <v>3.9250790414816508E-2</v>
      </c>
      <c r="E48" s="112">
        <v>43585</v>
      </c>
      <c r="F48" s="113">
        <v>160.48079999999999</v>
      </c>
      <c r="G48" s="119">
        <f t="shared" si="3"/>
        <v>3.7137855019863067E-2</v>
      </c>
      <c r="H48" s="112">
        <v>43585</v>
      </c>
      <c r="I48" s="113">
        <v>153.1069</v>
      </c>
      <c r="J48" s="119">
        <f t="shared" si="4"/>
        <v>3.5863902683246851E-2</v>
      </c>
      <c r="K48" s="112">
        <v>43585</v>
      </c>
      <c r="L48" s="113">
        <v>37.75159</v>
      </c>
      <c r="M48" s="119">
        <f t="shared" si="5"/>
        <v>0.14328428269882471</v>
      </c>
      <c r="N48" s="112">
        <v>43585</v>
      </c>
      <c r="O48" s="113">
        <v>77.235789999999994</v>
      </c>
      <c r="P48" s="119">
        <f t="shared" si="6"/>
        <v>3.4184582552419338E-2</v>
      </c>
      <c r="Q48" s="112">
        <v>43585</v>
      </c>
      <c r="R48" s="113">
        <v>81.27261</v>
      </c>
      <c r="S48" s="119">
        <f t="shared" si="7"/>
        <v>2.8367843981603046E-2</v>
      </c>
      <c r="T48" s="112">
        <v>43585</v>
      </c>
      <c r="U48" s="113">
        <v>174.49930000000001</v>
      </c>
      <c r="V48" s="119">
        <f t="shared" si="8"/>
        <v>5.1041046780850093E-2</v>
      </c>
      <c r="W48" s="112">
        <v>43585</v>
      </c>
      <c r="X48" s="113">
        <v>161.71250000000001</v>
      </c>
      <c r="Y48" s="120">
        <f t="shared" si="9"/>
        <v>-2.6959033749335878E-2</v>
      </c>
      <c r="Z48" s="77"/>
      <c r="AA48" s="121">
        <v>43585</v>
      </c>
      <c r="AB48" s="122">
        <v>30.306979999999999</v>
      </c>
      <c r="AC48" s="123">
        <f t="shared" si="10"/>
        <v>2.8744582514147958E-2</v>
      </c>
      <c r="AD48" s="121">
        <v>43585</v>
      </c>
      <c r="AE48" s="122">
        <v>40.490189999999998</v>
      </c>
      <c r="AF48" s="123">
        <f t="shared" si="11"/>
        <v>2.1411963606725121E-2</v>
      </c>
      <c r="AG48" s="121">
        <v>43585</v>
      </c>
      <c r="AH48" s="122">
        <v>77.320340000000002</v>
      </c>
      <c r="AI48" s="123">
        <f t="shared" si="12"/>
        <v>3.4990613913253879E-2</v>
      </c>
      <c r="AJ48" s="121">
        <v>43585</v>
      </c>
      <c r="AK48" s="122">
        <v>22.530449999999998</v>
      </c>
      <c r="AL48" s="123">
        <f t="shared" si="13"/>
        <v>1.7177449901737953E-2</v>
      </c>
      <c r="AM48" s="121">
        <v>43585</v>
      </c>
      <c r="AN48" s="122">
        <v>56.495489999999997</v>
      </c>
      <c r="AO48" s="124">
        <f t="shared" si="14"/>
        <v>2.8425960344369925E-2</v>
      </c>
      <c r="AP48" s="118"/>
      <c r="AQ48" s="9"/>
      <c r="AR48" s="118"/>
      <c r="AS48" s="138"/>
      <c r="AT48" s="9"/>
      <c r="AU48" s="118"/>
      <c r="AV48" s="138"/>
      <c r="AW48" s="9"/>
      <c r="AX48" s="118"/>
      <c r="AY48" s="138"/>
      <c r="AZ48" s="9"/>
      <c r="BA48" s="118"/>
      <c r="BB48" s="139"/>
      <c r="BC48" s="118"/>
      <c r="BD48" s="118"/>
      <c r="BE48" s="138"/>
      <c r="BF48" s="9"/>
      <c r="BG48" s="118"/>
      <c r="BH48" s="138"/>
      <c r="BI48" s="9"/>
      <c r="BJ48" s="118"/>
      <c r="BK48" s="138"/>
      <c r="BL48" s="9"/>
      <c r="BM48" s="118"/>
      <c r="BN48" s="139"/>
      <c r="BO48" s="118"/>
      <c r="BP48" s="138"/>
      <c r="BQ48" s="9"/>
      <c r="BR48" s="118"/>
      <c r="BS48" s="138"/>
      <c r="BT48" s="9"/>
      <c r="BU48" s="118"/>
      <c r="BV48" s="138"/>
      <c r="BW48" s="9"/>
      <c r="BX48" s="118"/>
      <c r="BY48" s="139"/>
      <c r="BZ48" s="118"/>
      <c r="CA48" s="9"/>
      <c r="CB48" s="118"/>
      <c r="CC48" s="139"/>
      <c r="CD48" s="9"/>
      <c r="CE48" s="9"/>
      <c r="CF48" s="132"/>
      <c r="CG48" s="133"/>
    </row>
    <row r="49" spans="1:85" ht="16" x14ac:dyDescent="0.2">
      <c r="A49" s="77"/>
      <c r="B49" s="112">
        <v>43616</v>
      </c>
      <c r="C49" s="113">
        <v>135.05539999999999</v>
      </c>
      <c r="D49" s="119">
        <f t="shared" si="2"/>
        <v>-6.4498856732394999E-2</v>
      </c>
      <c r="E49" s="112">
        <v>43616</v>
      </c>
      <c r="F49" s="113">
        <v>150.75880000000001</v>
      </c>
      <c r="G49" s="119">
        <f t="shared" si="3"/>
        <v>-6.0580455730529635E-2</v>
      </c>
      <c r="H49" s="112">
        <v>43616</v>
      </c>
      <c r="I49" s="113">
        <v>142.1182</v>
      </c>
      <c r="J49" s="119">
        <f t="shared" si="4"/>
        <v>-7.1771422450588415E-2</v>
      </c>
      <c r="K49" s="112">
        <v>43616</v>
      </c>
      <c r="L49" s="113">
        <v>35.460259999999998</v>
      </c>
      <c r="M49" s="119">
        <f t="shared" si="5"/>
        <v>-6.0694927021616892E-2</v>
      </c>
      <c r="N49" s="112">
        <v>43616</v>
      </c>
      <c r="O49" s="113">
        <v>69.819890000000001</v>
      </c>
      <c r="P49" s="119">
        <f t="shared" si="6"/>
        <v>-9.6016367541524386E-2</v>
      </c>
      <c r="Q49" s="112">
        <v>43616</v>
      </c>
      <c r="R49" s="113">
        <v>76.142899999999997</v>
      </c>
      <c r="S49" s="119">
        <f t="shared" si="7"/>
        <v>-6.3117328211804727E-2</v>
      </c>
      <c r="T49" s="112">
        <v>43616</v>
      </c>
      <c r="U49" s="113">
        <v>160.7192</v>
      </c>
      <c r="V49" s="119">
        <f t="shared" si="8"/>
        <v>-7.896937122383875E-2</v>
      </c>
      <c r="W49" s="112">
        <v>43616</v>
      </c>
      <c r="X49" s="113">
        <v>157.3861</v>
      </c>
      <c r="Y49" s="120">
        <f t="shared" si="9"/>
        <v>-2.6753652315065359E-2</v>
      </c>
      <c r="Z49" s="77"/>
      <c r="AA49" s="121">
        <v>43616</v>
      </c>
      <c r="AB49" s="122">
        <v>28.726240000000001</v>
      </c>
      <c r="AC49" s="123">
        <f t="shared" si="10"/>
        <v>-5.2157621775577728E-2</v>
      </c>
      <c r="AD49" s="121">
        <v>43616</v>
      </c>
      <c r="AE49" s="122">
        <v>37.906500000000001</v>
      </c>
      <c r="AF49" s="123">
        <f t="shared" si="11"/>
        <v>-6.3810271080476461E-2</v>
      </c>
      <c r="AG49" s="121">
        <v>43616</v>
      </c>
      <c r="AH49" s="122">
        <v>74.069720000000004</v>
      </c>
      <c r="AI49" s="123">
        <f t="shared" si="12"/>
        <v>-4.2040942913598126E-2</v>
      </c>
      <c r="AJ49" s="121">
        <v>43616</v>
      </c>
      <c r="AK49" s="122">
        <v>20.8705</v>
      </c>
      <c r="AL49" s="123">
        <f t="shared" si="13"/>
        <v>-7.3675847575170428E-2</v>
      </c>
      <c r="AM49" s="121">
        <v>43616</v>
      </c>
      <c r="AN49" s="122">
        <v>53.480710000000002</v>
      </c>
      <c r="AO49" s="124">
        <f t="shared" si="14"/>
        <v>-5.3363197664096633E-2</v>
      </c>
      <c r="AP49" s="118"/>
      <c r="AQ49" s="9"/>
      <c r="AR49" s="118"/>
      <c r="AS49" s="138"/>
      <c r="AT49" s="9"/>
      <c r="AU49" s="118"/>
      <c r="AV49" s="138"/>
      <c r="AW49" s="9"/>
      <c r="AX49" s="118"/>
      <c r="AY49" s="138"/>
      <c r="AZ49" s="9"/>
      <c r="BA49" s="118"/>
      <c r="BB49" s="139"/>
      <c r="BC49" s="118"/>
      <c r="BD49" s="118"/>
      <c r="BE49" s="138"/>
      <c r="BF49" s="9"/>
      <c r="BG49" s="118"/>
      <c r="BH49" s="138"/>
      <c r="BI49" s="9"/>
      <c r="BJ49" s="118"/>
      <c r="BK49" s="138"/>
      <c r="BL49" s="9"/>
      <c r="BM49" s="118"/>
      <c r="BN49" s="139"/>
      <c r="BO49" s="118"/>
      <c r="BP49" s="138"/>
      <c r="BQ49" s="9"/>
      <c r="BR49" s="118"/>
      <c r="BS49" s="138"/>
      <c r="BT49" s="9"/>
      <c r="BU49" s="118"/>
      <c r="BV49" s="138"/>
      <c r="BW49" s="9"/>
      <c r="BX49" s="118"/>
      <c r="BY49" s="139"/>
      <c r="BZ49" s="118"/>
      <c r="CA49" s="9"/>
      <c r="CB49" s="118"/>
      <c r="CC49" s="139"/>
      <c r="CD49" s="9"/>
      <c r="CE49" s="9"/>
      <c r="CF49" s="132"/>
      <c r="CG49" s="133"/>
    </row>
    <row r="50" spans="1:85" ht="16" x14ac:dyDescent="0.2">
      <c r="A50" s="77"/>
      <c r="B50" s="112">
        <v>43644</v>
      </c>
      <c r="C50" s="113">
        <v>144.6147</v>
      </c>
      <c r="D50" s="119">
        <f t="shared" si="2"/>
        <v>7.0780583375414888E-2</v>
      </c>
      <c r="E50" s="112">
        <v>43644</v>
      </c>
      <c r="F50" s="113">
        <v>161.46420000000001</v>
      </c>
      <c r="G50" s="119">
        <f t="shared" si="3"/>
        <v>7.1010116822367894E-2</v>
      </c>
      <c r="H50" s="112">
        <v>43644</v>
      </c>
      <c r="I50" s="113">
        <v>152.0223</v>
      </c>
      <c r="J50" s="119">
        <f t="shared" si="4"/>
        <v>6.9689174222583736E-2</v>
      </c>
      <c r="K50" s="112">
        <v>43644</v>
      </c>
      <c r="L50" s="113">
        <v>38.065719999999999</v>
      </c>
      <c r="M50" s="119">
        <f t="shared" si="5"/>
        <v>7.3475490591439568E-2</v>
      </c>
      <c r="N50" s="112">
        <v>43644</v>
      </c>
      <c r="O50" s="113">
        <v>76.501509999999996</v>
      </c>
      <c r="P50" s="119">
        <f t="shared" si="6"/>
        <v>9.569794509845253E-2</v>
      </c>
      <c r="Q50" s="112">
        <v>43644</v>
      </c>
      <c r="R50" s="113">
        <v>81.202110000000005</v>
      </c>
      <c r="S50" s="119">
        <f t="shared" si="7"/>
        <v>6.6443621138674885E-2</v>
      </c>
      <c r="T50" s="112">
        <v>43644</v>
      </c>
      <c r="U50" s="113">
        <v>173.18600000000001</v>
      </c>
      <c r="V50" s="119">
        <f t="shared" si="8"/>
        <v>7.7568828117611371E-2</v>
      </c>
      <c r="W50" s="112">
        <v>43644</v>
      </c>
      <c r="X50" s="113">
        <v>168.71629999999999</v>
      </c>
      <c r="Y50" s="120">
        <f t="shared" si="9"/>
        <v>7.1989839001029898E-2</v>
      </c>
      <c r="Z50" s="77"/>
      <c r="AA50" s="121">
        <v>43644</v>
      </c>
      <c r="AB50" s="122">
        <v>30.43807</v>
      </c>
      <c r="AC50" s="123">
        <f t="shared" si="10"/>
        <v>5.9591161251872818E-2</v>
      </c>
      <c r="AD50" s="121">
        <v>43644</v>
      </c>
      <c r="AE50" s="122">
        <v>39.942779999999999</v>
      </c>
      <c r="AF50" s="123">
        <f t="shared" si="11"/>
        <v>5.3718491551580809E-2</v>
      </c>
      <c r="AG50" s="121">
        <v>43644</v>
      </c>
      <c r="AH50" s="122">
        <v>78.873729999999995</v>
      </c>
      <c r="AI50" s="123">
        <f t="shared" si="12"/>
        <v>6.485794735014512E-2</v>
      </c>
      <c r="AJ50" s="121">
        <v>43644</v>
      </c>
      <c r="AK50" s="122">
        <v>21.968810000000001</v>
      </c>
      <c r="AL50" s="123">
        <f t="shared" si="13"/>
        <v>5.2624997005342539E-2</v>
      </c>
      <c r="AM50" s="121">
        <v>43644</v>
      </c>
      <c r="AN50" s="122">
        <v>56.353720000000003</v>
      </c>
      <c r="AO50" s="124">
        <f t="shared" si="14"/>
        <v>5.3720490995725387E-2</v>
      </c>
      <c r="AP50" s="118"/>
      <c r="AQ50" s="9"/>
      <c r="AR50" s="118"/>
      <c r="AS50" s="138"/>
      <c r="AT50" s="9"/>
      <c r="AU50" s="118"/>
      <c r="AV50" s="138"/>
      <c r="AW50" s="9"/>
      <c r="AX50" s="118"/>
      <c r="AY50" s="138"/>
      <c r="AZ50" s="9"/>
      <c r="BA50" s="118"/>
      <c r="BB50" s="139"/>
      <c r="BC50" s="118"/>
      <c r="BD50" s="118"/>
      <c r="BE50" s="138"/>
      <c r="BF50" s="9"/>
      <c r="BG50" s="118"/>
      <c r="BH50" s="138"/>
      <c r="BI50" s="9"/>
      <c r="BJ50" s="118"/>
      <c r="BK50" s="138"/>
      <c r="BL50" s="9"/>
      <c r="BM50" s="118"/>
      <c r="BN50" s="139"/>
      <c r="BO50" s="118"/>
      <c r="BP50" s="138"/>
      <c r="BQ50" s="9"/>
      <c r="BR50" s="118"/>
      <c r="BS50" s="138"/>
      <c r="BT50" s="9"/>
      <c r="BU50" s="118"/>
      <c r="BV50" s="138"/>
      <c r="BW50" s="9"/>
      <c r="BX50" s="118"/>
      <c r="BY50" s="139"/>
      <c r="BZ50" s="118"/>
      <c r="CA50" s="9"/>
      <c r="CB50" s="118"/>
      <c r="CC50" s="139"/>
      <c r="CD50" s="9"/>
      <c r="CE50" s="9"/>
      <c r="CF50" s="132"/>
      <c r="CG50" s="133"/>
    </row>
    <row r="51" spans="1:85" ht="16" x14ac:dyDescent="0.2">
      <c r="A51" s="77"/>
      <c r="B51" s="112">
        <v>43677</v>
      </c>
      <c r="C51" s="113">
        <v>146.6574</v>
      </c>
      <c r="D51" s="119">
        <f t="shared" si="2"/>
        <v>1.4125120060408771E-2</v>
      </c>
      <c r="E51" s="112">
        <v>43677</v>
      </c>
      <c r="F51" s="113">
        <v>163.5796</v>
      </c>
      <c r="G51" s="119">
        <f t="shared" si="3"/>
        <v>1.3101356213947079E-2</v>
      </c>
      <c r="H51" s="112">
        <v>43677</v>
      </c>
      <c r="I51" s="113">
        <v>153.8466</v>
      </c>
      <c r="J51" s="119">
        <f t="shared" si="4"/>
        <v>1.2000213126626776E-2</v>
      </c>
      <c r="K51" s="112">
        <v>43677</v>
      </c>
      <c r="L51" s="113">
        <v>38.546169999999996</v>
      </c>
      <c r="M51" s="119">
        <f t="shared" si="5"/>
        <v>1.2621592340825227E-2</v>
      </c>
      <c r="N51" s="112">
        <v>43677</v>
      </c>
      <c r="O51" s="113">
        <v>77.72645</v>
      </c>
      <c r="P51" s="119">
        <f t="shared" si="6"/>
        <v>1.6011971528405174E-2</v>
      </c>
      <c r="Q51" s="112">
        <v>43677</v>
      </c>
      <c r="R51" s="113">
        <v>81.787570000000002</v>
      </c>
      <c r="S51" s="119">
        <f t="shared" si="7"/>
        <v>7.2099111710274234E-3</v>
      </c>
      <c r="T51" s="112">
        <v>43677</v>
      </c>
      <c r="U51" s="113">
        <v>175.19409999999999</v>
      </c>
      <c r="V51" s="119">
        <f t="shared" si="8"/>
        <v>1.1595048098576009E-2</v>
      </c>
      <c r="W51" s="112">
        <v>43677</v>
      </c>
      <c r="X51" s="113">
        <v>166.5145</v>
      </c>
      <c r="Y51" s="120">
        <f t="shared" si="9"/>
        <v>-1.3050309898924951E-2</v>
      </c>
      <c r="Z51" s="77"/>
      <c r="AA51" s="121">
        <v>43677</v>
      </c>
      <c r="AB51" s="122">
        <v>29.840499999999999</v>
      </c>
      <c r="AC51" s="123">
        <f t="shared" si="10"/>
        <v>-1.9632322285874269E-2</v>
      </c>
      <c r="AD51" s="121">
        <v>43677</v>
      </c>
      <c r="AE51" s="122">
        <v>39.219630000000002</v>
      </c>
      <c r="AF51" s="123">
        <f t="shared" si="11"/>
        <v>-1.8104648699965222E-2</v>
      </c>
      <c r="AG51" s="121">
        <v>43677</v>
      </c>
      <c r="AH51" s="122">
        <v>77.97533</v>
      </c>
      <c r="AI51" s="123">
        <f t="shared" si="12"/>
        <v>-1.1390357727471431E-2</v>
      </c>
      <c r="AJ51" s="121">
        <v>43677</v>
      </c>
      <c r="AK51" s="122">
        <v>21.511330000000001</v>
      </c>
      <c r="AL51" s="123">
        <f t="shared" si="13"/>
        <v>-2.082406830410934E-2</v>
      </c>
      <c r="AM51" s="121">
        <v>43677</v>
      </c>
      <c r="AN51" s="122">
        <v>54.838830000000002</v>
      </c>
      <c r="AO51" s="124">
        <f t="shared" si="14"/>
        <v>-2.6881810109430242E-2</v>
      </c>
      <c r="AP51" s="118"/>
      <c r="AQ51" s="9"/>
      <c r="AR51" s="118"/>
      <c r="AS51" s="138"/>
      <c r="AT51" s="9"/>
      <c r="AU51" s="118"/>
      <c r="AV51" s="138"/>
      <c r="AW51" s="9"/>
      <c r="AX51" s="118"/>
      <c r="AY51" s="138"/>
      <c r="AZ51" s="9"/>
      <c r="BA51" s="118"/>
      <c r="BB51" s="139"/>
      <c r="BC51" s="118"/>
      <c r="BD51" s="118"/>
      <c r="BE51" s="138"/>
      <c r="BF51" s="9"/>
      <c r="BG51" s="118"/>
      <c r="BH51" s="138"/>
      <c r="BI51" s="9"/>
      <c r="BJ51" s="118"/>
      <c r="BK51" s="138"/>
      <c r="BL51" s="9"/>
      <c r="BM51" s="118"/>
      <c r="BN51" s="139"/>
      <c r="BO51" s="118"/>
      <c r="BP51" s="138"/>
      <c r="BQ51" s="9"/>
      <c r="BR51" s="118"/>
      <c r="BS51" s="138"/>
      <c r="BT51" s="9"/>
      <c r="BU51" s="118"/>
      <c r="BV51" s="138"/>
      <c r="BW51" s="9"/>
      <c r="BX51" s="118"/>
      <c r="BY51" s="139"/>
      <c r="BZ51" s="118"/>
      <c r="CA51" s="9"/>
      <c r="CB51" s="118"/>
      <c r="CC51" s="139"/>
      <c r="CD51" s="9"/>
      <c r="CE51" s="9"/>
      <c r="CF51" s="132"/>
      <c r="CG51" s="133"/>
    </row>
    <row r="52" spans="1:85" ht="16" x14ac:dyDescent="0.2">
      <c r="A52" s="77"/>
      <c r="B52" s="112">
        <v>43707</v>
      </c>
      <c r="C52" s="113">
        <v>143.60300000000001</v>
      </c>
      <c r="D52" s="119">
        <f t="shared" si="2"/>
        <v>-2.0826770418676366E-2</v>
      </c>
      <c r="E52" s="112">
        <v>43707</v>
      </c>
      <c r="F52" s="113">
        <v>159.06870000000001</v>
      </c>
      <c r="G52" s="119">
        <f t="shared" si="3"/>
        <v>-2.7576176980503634E-2</v>
      </c>
      <c r="H52" s="112">
        <v>43707</v>
      </c>
      <c r="I52" s="113">
        <v>147.74279999999999</v>
      </c>
      <c r="J52" s="119">
        <f t="shared" si="4"/>
        <v>-3.9674584943703711E-2</v>
      </c>
      <c r="K52" s="112">
        <v>43707</v>
      </c>
      <c r="L52" s="113">
        <v>37.899419999999999</v>
      </c>
      <c r="M52" s="119">
        <f t="shared" si="5"/>
        <v>-1.6778580076827278E-2</v>
      </c>
      <c r="N52" s="112">
        <v>43707</v>
      </c>
      <c r="O52" s="113">
        <v>74.211839999999995</v>
      </c>
      <c r="P52" s="119">
        <f t="shared" si="6"/>
        <v>-4.5217683298285266E-2</v>
      </c>
      <c r="Q52" s="112">
        <v>43707</v>
      </c>
      <c r="R52" s="113">
        <v>80.068359999999998</v>
      </c>
      <c r="S52" s="119">
        <f t="shared" si="7"/>
        <v>-2.1020431344274001E-2</v>
      </c>
      <c r="T52" s="112">
        <v>43707</v>
      </c>
      <c r="U52" s="113">
        <v>172.15299999999999</v>
      </c>
      <c r="V52" s="119">
        <f t="shared" si="8"/>
        <v>-1.7358461272383031E-2</v>
      </c>
      <c r="W52" s="112">
        <v>43707</v>
      </c>
      <c r="X52" s="113">
        <v>164.55510000000001</v>
      </c>
      <c r="Y52" s="120">
        <f t="shared" si="9"/>
        <v>-1.1767143401925887E-2</v>
      </c>
      <c r="Z52" s="77"/>
      <c r="AA52" s="121">
        <v>43707</v>
      </c>
      <c r="AB52" s="122">
        <v>29.28088</v>
      </c>
      <c r="AC52" s="123">
        <f t="shared" si="10"/>
        <v>-1.8753707209999797E-2</v>
      </c>
      <c r="AD52" s="121">
        <v>43707</v>
      </c>
      <c r="AE52" s="122">
        <v>37.942360000000001</v>
      </c>
      <c r="AF52" s="123">
        <f t="shared" si="11"/>
        <v>-3.2567109888594091E-2</v>
      </c>
      <c r="AG52" s="121">
        <v>43707</v>
      </c>
      <c r="AH52" s="122">
        <v>77.545659999999998</v>
      </c>
      <c r="AI52" s="123">
        <f t="shared" si="12"/>
        <v>-5.5103325628759964E-3</v>
      </c>
      <c r="AJ52" s="121">
        <v>43707</v>
      </c>
      <c r="AK52" s="122">
        <v>20.748860000000001</v>
      </c>
      <c r="AL52" s="123">
        <f t="shared" si="13"/>
        <v>-3.5445042217287372E-2</v>
      </c>
      <c r="AM52" s="121">
        <v>43707</v>
      </c>
      <c r="AN52" s="122">
        <v>52.94753</v>
      </c>
      <c r="AO52" s="124">
        <f t="shared" si="14"/>
        <v>-3.4488336093239064E-2</v>
      </c>
      <c r="AP52" s="118"/>
      <c r="AQ52" s="9"/>
      <c r="AR52" s="118"/>
      <c r="AS52" s="138"/>
      <c r="AT52" s="9"/>
      <c r="AU52" s="118"/>
      <c r="AV52" s="138"/>
      <c r="AW52" s="9"/>
      <c r="AX52" s="118"/>
      <c r="AY52" s="138"/>
      <c r="AZ52" s="9"/>
      <c r="BA52" s="118"/>
      <c r="BB52" s="139"/>
      <c r="BC52" s="118"/>
      <c r="BD52" s="118"/>
      <c r="BE52" s="138"/>
      <c r="BF52" s="9"/>
      <c r="BG52" s="118"/>
      <c r="BH52" s="138"/>
      <c r="BI52" s="9"/>
      <c r="BJ52" s="118"/>
      <c r="BK52" s="138"/>
      <c r="BL52" s="9"/>
      <c r="BM52" s="118"/>
      <c r="BN52" s="139"/>
      <c r="BO52" s="118"/>
      <c r="BP52" s="138"/>
      <c r="BQ52" s="9"/>
      <c r="BR52" s="118"/>
      <c r="BS52" s="138"/>
      <c r="BT52" s="9"/>
      <c r="BU52" s="118"/>
      <c r="BV52" s="138"/>
      <c r="BW52" s="9"/>
      <c r="BX52" s="118"/>
      <c r="BY52" s="139"/>
      <c r="BZ52" s="118"/>
      <c r="CA52" s="9"/>
      <c r="CB52" s="118"/>
      <c r="CC52" s="139"/>
      <c r="CD52" s="9"/>
      <c r="CE52" s="9"/>
      <c r="CF52" s="132"/>
      <c r="CG52" s="133"/>
    </row>
    <row r="53" spans="1:85" ht="16" x14ac:dyDescent="0.2">
      <c r="A53" s="77"/>
      <c r="B53" s="112">
        <v>43738</v>
      </c>
      <c r="C53" s="113">
        <v>146.15809999999999</v>
      </c>
      <c r="D53" s="119">
        <f t="shared" si="2"/>
        <v>1.7792803771508825E-2</v>
      </c>
      <c r="E53" s="112">
        <v>43738</v>
      </c>
      <c r="F53" s="113">
        <v>162.40450000000001</v>
      </c>
      <c r="G53" s="119">
        <f t="shared" si="3"/>
        <v>2.0970813239814031E-2</v>
      </c>
      <c r="H53" s="112">
        <v>43738</v>
      </c>
      <c r="I53" s="113">
        <v>149.7621</v>
      </c>
      <c r="J53" s="119">
        <f t="shared" si="4"/>
        <v>1.3667671114937685E-2</v>
      </c>
      <c r="K53" s="112">
        <v>43738</v>
      </c>
      <c r="L53" s="113">
        <v>37.437449999999998</v>
      </c>
      <c r="M53" s="119">
        <f t="shared" si="5"/>
        <v>-1.2189368597197553E-2</v>
      </c>
      <c r="N53" s="112">
        <v>43738</v>
      </c>
      <c r="O53" s="113">
        <v>77.814779999999999</v>
      </c>
      <c r="P53" s="119">
        <f t="shared" si="6"/>
        <v>4.8549395891545125E-2</v>
      </c>
      <c r="Q53" s="112">
        <v>43738</v>
      </c>
      <c r="R53" s="113">
        <v>83.187389999999994</v>
      </c>
      <c r="S53" s="119">
        <f t="shared" si="7"/>
        <v>3.8954588304293922E-2</v>
      </c>
      <c r="T53" s="112">
        <v>43738</v>
      </c>
      <c r="U53" s="113">
        <v>174.45939999999999</v>
      </c>
      <c r="V53" s="119">
        <f t="shared" si="8"/>
        <v>1.3397384884376088E-2</v>
      </c>
      <c r="W53" s="112">
        <v>43738</v>
      </c>
      <c r="X53" s="113">
        <v>163.25489999999999</v>
      </c>
      <c r="Y53" s="120">
        <f t="shared" si="9"/>
        <v>-7.9013047909181656E-3</v>
      </c>
      <c r="Z53" s="77"/>
      <c r="AA53" s="121">
        <v>43738</v>
      </c>
      <c r="AB53" s="122">
        <v>30.219909999999999</v>
      </c>
      <c r="AC53" s="123">
        <f t="shared" si="10"/>
        <v>3.2069732876880711E-2</v>
      </c>
      <c r="AD53" s="121">
        <v>43738</v>
      </c>
      <c r="AE53" s="122">
        <v>38.287979999999997</v>
      </c>
      <c r="AF53" s="123">
        <f t="shared" si="11"/>
        <v>9.109080194273542E-3</v>
      </c>
      <c r="AG53" s="121">
        <v>43738</v>
      </c>
      <c r="AH53" s="122">
        <v>78.619839999999996</v>
      </c>
      <c r="AI53" s="123">
        <f t="shared" si="12"/>
        <v>1.3852225901488211E-2</v>
      </c>
      <c r="AJ53" s="121">
        <v>43738</v>
      </c>
      <c r="AK53" s="122">
        <v>21.72101</v>
      </c>
      <c r="AL53" s="123">
        <f t="shared" si="13"/>
        <v>4.685317651186615E-2</v>
      </c>
      <c r="AM53" s="121">
        <v>43738</v>
      </c>
      <c r="AN53" s="122">
        <v>55.12932</v>
      </c>
      <c r="AO53" s="124">
        <f t="shared" si="14"/>
        <v>4.1206643633801228E-2</v>
      </c>
      <c r="AP53" s="118"/>
      <c r="AQ53" s="9"/>
      <c r="AR53" s="118"/>
      <c r="AS53" s="138"/>
      <c r="AT53" s="9"/>
      <c r="AU53" s="118"/>
      <c r="AV53" s="138"/>
      <c r="AW53" s="9"/>
      <c r="AX53" s="118"/>
      <c r="AY53" s="138"/>
      <c r="AZ53" s="9"/>
      <c r="BA53" s="118"/>
      <c r="BB53" s="139"/>
      <c r="BC53" s="118"/>
      <c r="BD53" s="118"/>
      <c r="BE53" s="138"/>
      <c r="BF53" s="9"/>
      <c r="BG53" s="118"/>
      <c r="BH53" s="138"/>
      <c r="BI53" s="9"/>
      <c r="BJ53" s="118"/>
      <c r="BK53" s="138"/>
      <c r="BL53" s="9"/>
      <c r="BM53" s="118"/>
      <c r="BN53" s="139"/>
      <c r="BO53" s="118"/>
      <c r="BP53" s="138"/>
      <c r="BQ53" s="9"/>
      <c r="BR53" s="118"/>
      <c r="BS53" s="138"/>
      <c r="BT53" s="9"/>
      <c r="BU53" s="118"/>
      <c r="BV53" s="138"/>
      <c r="BW53" s="9"/>
      <c r="BX53" s="118"/>
      <c r="BY53" s="139"/>
      <c r="BZ53" s="118"/>
      <c r="CA53" s="9"/>
      <c r="CB53" s="118"/>
      <c r="CC53" s="139"/>
      <c r="CD53" s="9"/>
      <c r="CE53" s="9"/>
      <c r="CF53" s="132"/>
      <c r="CG53" s="133"/>
    </row>
    <row r="54" spans="1:85" ht="16" x14ac:dyDescent="0.2">
      <c r="A54" s="77"/>
      <c r="B54" s="112">
        <v>43769</v>
      </c>
      <c r="C54" s="113">
        <v>149.2362</v>
      </c>
      <c r="D54" s="119">
        <f t="shared" si="2"/>
        <v>2.1060071251610458E-2</v>
      </c>
      <c r="E54" s="112">
        <v>43769</v>
      </c>
      <c r="F54" s="113">
        <v>164.20689999999999</v>
      </c>
      <c r="G54" s="119">
        <f t="shared" si="3"/>
        <v>1.1098214643067017E-2</v>
      </c>
      <c r="H54" s="112">
        <v>43769</v>
      </c>
      <c r="I54" s="113">
        <v>152.23390000000001</v>
      </c>
      <c r="J54" s="119">
        <f t="shared" si="4"/>
        <v>1.650484334821695E-2</v>
      </c>
      <c r="K54" s="112">
        <v>43769</v>
      </c>
      <c r="L54" s="113">
        <v>38.389099999999999</v>
      </c>
      <c r="M54" s="119">
        <f t="shared" si="5"/>
        <v>2.5419733448725831E-2</v>
      </c>
      <c r="N54" s="112">
        <v>43769</v>
      </c>
      <c r="O54" s="113">
        <v>80.024780000000007</v>
      </c>
      <c r="P54" s="119">
        <f t="shared" si="6"/>
        <v>2.8400774248799623E-2</v>
      </c>
      <c r="Q54" s="112">
        <v>43769</v>
      </c>
      <c r="R54" s="113">
        <v>84.059299999999993</v>
      </c>
      <c r="S54" s="119">
        <f t="shared" si="7"/>
        <v>1.0481276068404115E-2</v>
      </c>
      <c r="T54" s="112">
        <v>43769</v>
      </c>
      <c r="U54" s="113">
        <v>175.69919999999999</v>
      </c>
      <c r="V54" s="119">
        <f t="shared" si="8"/>
        <v>7.1065244979634373E-3</v>
      </c>
      <c r="W54" s="112">
        <v>43769</v>
      </c>
      <c r="X54" s="113">
        <v>171.0633</v>
      </c>
      <c r="Y54" s="120">
        <f t="shared" si="9"/>
        <v>4.7829498532662766E-2</v>
      </c>
      <c r="Z54" s="77"/>
      <c r="AA54" s="121">
        <v>43769</v>
      </c>
      <c r="AB54" s="122">
        <v>31.16844</v>
      </c>
      <c r="AC54" s="123">
        <f t="shared" si="10"/>
        <v>3.1387585204588689E-2</v>
      </c>
      <c r="AD54" s="121">
        <v>43769</v>
      </c>
      <c r="AE54" s="122">
        <v>39.8001</v>
      </c>
      <c r="AF54" s="123">
        <f t="shared" si="11"/>
        <v>3.9493334461624854E-2</v>
      </c>
      <c r="AG54" s="121">
        <v>43769</v>
      </c>
      <c r="AH54" s="122">
        <v>81.188090000000003</v>
      </c>
      <c r="AI54" s="123">
        <f t="shared" si="12"/>
        <v>3.2666690748798348E-2</v>
      </c>
      <c r="AJ54" s="121">
        <v>43769</v>
      </c>
      <c r="AK54" s="122">
        <v>22.56926</v>
      </c>
      <c r="AL54" s="123">
        <f t="shared" si="13"/>
        <v>3.905205144696311E-2</v>
      </c>
      <c r="AM54" s="121">
        <v>43769</v>
      </c>
      <c r="AN54" s="122">
        <v>56.948709999999998</v>
      </c>
      <c r="AO54" s="124">
        <f t="shared" si="14"/>
        <v>3.3002220959736102E-2</v>
      </c>
      <c r="AP54" s="118"/>
      <c r="AQ54" s="9"/>
      <c r="AR54" s="118"/>
      <c r="AS54" s="138"/>
      <c r="AT54" s="9"/>
      <c r="AU54" s="118"/>
      <c r="AV54" s="138"/>
      <c r="AW54" s="9"/>
      <c r="AX54" s="118"/>
      <c r="AY54" s="138"/>
      <c r="AZ54" s="9"/>
      <c r="BA54" s="118"/>
      <c r="BB54" s="139"/>
      <c r="BC54" s="118"/>
      <c r="BD54" s="118"/>
      <c r="BE54" s="138"/>
      <c r="BF54" s="9"/>
      <c r="BG54" s="118"/>
      <c r="BH54" s="138"/>
      <c r="BI54" s="9"/>
      <c r="BJ54" s="118"/>
      <c r="BK54" s="138"/>
      <c r="BL54" s="9"/>
      <c r="BM54" s="118"/>
      <c r="BN54" s="139"/>
      <c r="BO54" s="118"/>
      <c r="BP54" s="138"/>
      <c r="BQ54" s="9"/>
      <c r="BR54" s="118"/>
      <c r="BS54" s="138"/>
      <c r="BT54" s="9"/>
      <c r="BU54" s="118"/>
      <c r="BV54" s="138"/>
      <c r="BW54" s="9"/>
      <c r="BX54" s="118"/>
      <c r="BY54" s="139"/>
      <c r="BZ54" s="118"/>
      <c r="CA54" s="9"/>
      <c r="CB54" s="118"/>
      <c r="CC54" s="139"/>
      <c r="CD54" s="9"/>
      <c r="CE54" s="9"/>
      <c r="CF54" s="132"/>
      <c r="CG54" s="133"/>
    </row>
    <row r="55" spans="1:85" ht="16" x14ac:dyDescent="0.2">
      <c r="A55" s="77"/>
      <c r="B55" s="112">
        <v>43798</v>
      </c>
      <c r="C55" s="113">
        <v>154.88890000000001</v>
      </c>
      <c r="D55" s="119">
        <f t="shared" si="2"/>
        <v>3.7877539095742256E-2</v>
      </c>
      <c r="E55" s="112">
        <v>43798</v>
      </c>
      <c r="F55" s="113">
        <v>169.49760000000001</v>
      </c>
      <c r="G55" s="119">
        <f t="shared" si="3"/>
        <v>3.221971792902744E-2</v>
      </c>
      <c r="H55" s="112">
        <v>43798</v>
      </c>
      <c r="I55" s="113">
        <v>158.6277</v>
      </c>
      <c r="J55" s="119">
        <f t="shared" si="4"/>
        <v>4.1999843661628573E-2</v>
      </c>
      <c r="K55" s="112">
        <v>43798</v>
      </c>
      <c r="L55" s="113">
        <v>40.357059999999997</v>
      </c>
      <c r="M55" s="119">
        <f t="shared" si="5"/>
        <v>5.1263509694157924E-2</v>
      </c>
      <c r="N55" s="112">
        <v>43798</v>
      </c>
      <c r="O55" s="113">
        <v>82.984089999999995</v>
      </c>
      <c r="P55" s="119">
        <f t="shared" si="6"/>
        <v>3.6979920469634379E-2</v>
      </c>
      <c r="Q55" s="112">
        <v>43798</v>
      </c>
      <c r="R55" s="113">
        <v>86.028130000000004</v>
      </c>
      <c r="S55" s="119">
        <f t="shared" si="7"/>
        <v>2.3421917622440485E-2</v>
      </c>
      <c r="T55" s="112">
        <v>43798</v>
      </c>
      <c r="U55" s="113">
        <v>178.97300000000001</v>
      </c>
      <c r="V55" s="119">
        <f t="shared" si="8"/>
        <v>1.863298182348026E-2</v>
      </c>
      <c r="W55" s="112">
        <v>43798</v>
      </c>
      <c r="X55" s="113">
        <v>181.54910000000001</v>
      </c>
      <c r="Y55" s="120">
        <f t="shared" si="9"/>
        <v>6.1297776904806651E-2</v>
      </c>
      <c r="Z55" s="77"/>
      <c r="AA55" s="121">
        <v>43798</v>
      </c>
      <c r="AB55" s="122">
        <v>31.55733</v>
      </c>
      <c r="AC55" s="123">
        <f t="shared" si="10"/>
        <v>1.247704408690329E-2</v>
      </c>
      <c r="AD55" s="121">
        <v>43798</v>
      </c>
      <c r="AE55" s="122">
        <v>39.999809999999997</v>
      </c>
      <c r="AF55" s="123">
        <f t="shared" si="11"/>
        <v>5.0178265883753072E-3</v>
      </c>
      <c r="AG55" s="121">
        <v>43798</v>
      </c>
      <c r="AH55" s="122">
        <v>82.652869999999993</v>
      </c>
      <c r="AI55" s="123">
        <f t="shared" si="12"/>
        <v>1.8041808841666191E-2</v>
      </c>
      <c r="AJ55" s="121">
        <v>43798</v>
      </c>
      <c r="AK55" s="122">
        <v>22.866630000000001</v>
      </c>
      <c r="AL55" s="123">
        <f t="shared" si="13"/>
        <v>1.3175886138934143E-2</v>
      </c>
      <c r="AM55" s="121">
        <v>43798</v>
      </c>
      <c r="AN55" s="122">
        <v>57.366430000000001</v>
      </c>
      <c r="AO55" s="124">
        <f t="shared" si="14"/>
        <v>7.3350212849422362E-3</v>
      </c>
      <c r="AP55" s="118"/>
      <c r="AQ55" s="9"/>
      <c r="AR55" s="118"/>
      <c r="AS55" s="138"/>
      <c r="AT55" s="9"/>
      <c r="AU55" s="118"/>
      <c r="AV55" s="138"/>
      <c r="AW55" s="9"/>
      <c r="AX55" s="118"/>
      <c r="AY55" s="138"/>
      <c r="AZ55" s="9"/>
      <c r="BA55" s="118"/>
      <c r="BB55" s="139"/>
      <c r="BC55" s="118"/>
      <c r="BD55" s="118"/>
      <c r="BE55" s="138"/>
      <c r="BF55" s="9"/>
      <c r="BG55" s="118"/>
      <c r="BH55" s="138"/>
      <c r="BI55" s="9"/>
      <c r="BJ55" s="118"/>
      <c r="BK55" s="138"/>
      <c r="BL55" s="9"/>
      <c r="BM55" s="118"/>
      <c r="BN55" s="139"/>
      <c r="BO55" s="118"/>
      <c r="BP55" s="138"/>
      <c r="BQ55" s="9"/>
      <c r="BR55" s="118"/>
      <c r="BS55" s="138"/>
      <c r="BT55" s="9"/>
      <c r="BU55" s="118"/>
      <c r="BV55" s="138"/>
      <c r="BW55" s="9"/>
      <c r="BX55" s="118"/>
      <c r="BY55" s="139"/>
      <c r="BZ55" s="118"/>
      <c r="CA55" s="9"/>
      <c r="CB55" s="118"/>
      <c r="CC55" s="139"/>
      <c r="CD55" s="9"/>
      <c r="CE55" s="9"/>
      <c r="CF55" s="132"/>
      <c r="CG55" s="133"/>
    </row>
    <row r="56" spans="1:85" ht="16" x14ac:dyDescent="0.2">
      <c r="A56" s="77"/>
      <c r="B56" s="112">
        <v>43830</v>
      </c>
      <c r="C56" s="113">
        <v>159.23220000000001</v>
      </c>
      <c r="D56" s="119">
        <f t="shared" si="2"/>
        <v>2.8041389667045211E-2</v>
      </c>
      <c r="E56" s="112">
        <v>43830</v>
      </c>
      <c r="F56" s="113">
        <v>173.62010000000001</v>
      </c>
      <c r="G56" s="119">
        <f t="shared" si="3"/>
        <v>2.4321878303881602E-2</v>
      </c>
      <c r="H56" s="112">
        <v>43830</v>
      </c>
      <c r="I56" s="113">
        <v>162.06489999999999</v>
      </c>
      <c r="J56" s="119">
        <f t="shared" si="4"/>
        <v>2.1668346701112038E-2</v>
      </c>
      <c r="K56" s="112">
        <v>43830</v>
      </c>
      <c r="L56" s="113">
        <v>41.374250000000004</v>
      </c>
      <c r="M56" s="119">
        <f t="shared" si="5"/>
        <v>2.5204759712427183E-2</v>
      </c>
      <c r="N56" s="112">
        <v>43830</v>
      </c>
      <c r="O56" s="113">
        <v>85.694640000000007</v>
      </c>
      <c r="P56" s="119">
        <f t="shared" si="6"/>
        <v>3.2663490073820321E-2</v>
      </c>
      <c r="Q56" s="112">
        <v>43830</v>
      </c>
      <c r="R56" s="113">
        <v>88.586789999999993</v>
      </c>
      <c r="S56" s="119">
        <f t="shared" si="7"/>
        <v>2.9742132021235251E-2</v>
      </c>
      <c r="T56" s="112">
        <v>43830</v>
      </c>
      <c r="U56" s="113">
        <v>184.2681</v>
      </c>
      <c r="V56" s="119">
        <f t="shared" si="8"/>
        <v>2.9586026942611404E-2</v>
      </c>
      <c r="W56" s="112">
        <v>43830</v>
      </c>
      <c r="X56" s="113">
        <v>187.39230000000001</v>
      </c>
      <c r="Y56" s="120">
        <f t="shared" si="9"/>
        <v>3.2185232534889988E-2</v>
      </c>
      <c r="Z56" s="77"/>
      <c r="AA56" s="121">
        <v>43830</v>
      </c>
      <c r="AB56" s="122">
        <v>32.611849999999997</v>
      </c>
      <c r="AC56" s="123">
        <f t="shared" si="10"/>
        <v>3.3416008261788831E-2</v>
      </c>
      <c r="AD56" s="121">
        <v>43830</v>
      </c>
      <c r="AE56" s="122">
        <v>42.827350000000003</v>
      </c>
      <c r="AF56" s="123">
        <f t="shared" si="11"/>
        <v>7.0688835771970077E-2</v>
      </c>
      <c r="AG56" s="121">
        <v>43830</v>
      </c>
      <c r="AH56" s="122">
        <v>84.927260000000004</v>
      </c>
      <c r="AI56" s="123">
        <f t="shared" si="12"/>
        <v>2.7517374774765971E-2</v>
      </c>
      <c r="AJ56" s="121">
        <v>43830</v>
      </c>
      <c r="AK56" s="122">
        <v>23.5761</v>
      </c>
      <c r="AL56" s="123">
        <f t="shared" si="13"/>
        <v>3.1026434590492764E-2</v>
      </c>
      <c r="AM56" s="121">
        <v>43830</v>
      </c>
      <c r="AN56" s="122">
        <v>59.7271</v>
      </c>
      <c r="AO56" s="124">
        <f t="shared" si="14"/>
        <v>4.1150721772297824E-2</v>
      </c>
      <c r="AP56" s="118"/>
      <c r="AQ56" s="9"/>
      <c r="AR56" s="118"/>
      <c r="AS56" s="138"/>
      <c r="AT56" s="9"/>
      <c r="AU56" s="118"/>
      <c r="AV56" s="138"/>
      <c r="AW56" s="9"/>
      <c r="AX56" s="118"/>
      <c r="AY56" s="138"/>
      <c r="AZ56" s="9"/>
      <c r="BA56" s="118"/>
      <c r="BB56" s="139"/>
      <c r="BC56" s="118"/>
      <c r="BD56" s="118"/>
      <c r="BE56" s="138"/>
      <c r="BF56" s="9"/>
      <c r="BG56" s="118"/>
      <c r="BH56" s="138"/>
      <c r="BI56" s="9"/>
      <c r="BJ56" s="118"/>
      <c r="BK56" s="138"/>
      <c r="BL56" s="9"/>
      <c r="BM56" s="118"/>
      <c r="BN56" s="139"/>
      <c r="BO56" s="118"/>
      <c r="BP56" s="138"/>
      <c r="BQ56" s="9"/>
      <c r="BR56" s="118"/>
      <c r="BS56" s="138"/>
      <c r="BT56" s="9"/>
      <c r="BU56" s="118"/>
      <c r="BV56" s="138"/>
      <c r="BW56" s="9"/>
      <c r="BX56" s="118"/>
      <c r="BY56" s="139"/>
      <c r="BZ56" s="118"/>
      <c r="CA56" s="9"/>
      <c r="CB56" s="118"/>
      <c r="CC56" s="139"/>
      <c r="CD56" s="9"/>
      <c r="CE56" s="9"/>
      <c r="CF56" s="132"/>
      <c r="CG56" s="133"/>
    </row>
    <row r="57" spans="1:85" ht="16" x14ac:dyDescent="0.2">
      <c r="A57" s="77"/>
      <c r="B57" s="112">
        <v>43861</v>
      </c>
      <c r="C57" s="113">
        <v>159.13489999999999</v>
      </c>
      <c r="D57" s="119">
        <f t="shared" si="2"/>
        <v>-6.1105731127258413E-4</v>
      </c>
      <c r="E57" s="112">
        <v>43861</v>
      </c>
      <c r="F57" s="113">
        <v>173.19139999999999</v>
      </c>
      <c r="G57" s="119">
        <f t="shared" si="3"/>
        <v>-2.4691841555212818E-3</v>
      </c>
      <c r="H57" s="112">
        <v>43861</v>
      </c>
      <c r="I57" s="113">
        <v>158.797</v>
      </c>
      <c r="J57" s="119">
        <f t="shared" si="4"/>
        <v>-2.0164144117572638E-2</v>
      </c>
      <c r="K57" s="112">
        <v>43861</v>
      </c>
      <c r="L57" s="113">
        <v>43.201560000000001</v>
      </c>
      <c r="M57" s="119">
        <f t="shared" si="5"/>
        <v>4.416539272615206E-2</v>
      </c>
      <c r="N57" s="112">
        <v>43861</v>
      </c>
      <c r="O57" s="113">
        <v>82.457099999999997</v>
      </c>
      <c r="P57" s="119">
        <f t="shared" si="6"/>
        <v>-3.7779959166641106E-2</v>
      </c>
      <c r="Q57" s="112">
        <v>43861</v>
      </c>
      <c r="R57" s="113">
        <v>86.365279999999998</v>
      </c>
      <c r="S57" s="119">
        <f t="shared" si="7"/>
        <v>-2.5077215237170183E-2</v>
      </c>
      <c r="T57" s="112">
        <v>43861</v>
      </c>
      <c r="U57" s="113">
        <v>186.4853</v>
      </c>
      <c r="V57" s="119">
        <f t="shared" si="8"/>
        <v>1.2032467909529599E-2</v>
      </c>
      <c r="W57" s="112">
        <v>43861</v>
      </c>
      <c r="X57" s="113">
        <v>182.71090000000001</v>
      </c>
      <c r="Y57" s="120">
        <f t="shared" si="9"/>
        <v>-2.4981816221904509E-2</v>
      </c>
      <c r="Z57" s="77"/>
      <c r="AA57" s="121">
        <v>43861</v>
      </c>
      <c r="AB57" s="122">
        <v>31.680910000000001</v>
      </c>
      <c r="AC57" s="123">
        <f t="shared" si="10"/>
        <v>-2.8546065310615504E-2</v>
      </c>
      <c r="AD57" s="121">
        <v>43861</v>
      </c>
      <c r="AE57" s="122">
        <v>40.458210000000001</v>
      </c>
      <c r="AF57" s="123">
        <f t="shared" si="11"/>
        <v>-5.5318388833303984E-2</v>
      </c>
      <c r="AG57" s="121">
        <v>43861</v>
      </c>
      <c r="AH57" s="122">
        <v>83.827259999999995</v>
      </c>
      <c r="AI57" s="123">
        <f t="shared" si="12"/>
        <v>-1.2952260558035293E-2</v>
      </c>
      <c r="AJ57" s="121">
        <v>43861</v>
      </c>
      <c r="AK57" s="122">
        <v>22.50226</v>
      </c>
      <c r="AL57" s="123">
        <f t="shared" si="13"/>
        <v>-4.5547821734722903E-2</v>
      </c>
      <c r="AM57" s="121">
        <v>43861</v>
      </c>
      <c r="AN57" s="122">
        <v>57.20805</v>
      </c>
      <c r="AO57" s="124">
        <f t="shared" si="14"/>
        <v>-4.217599716041797E-2</v>
      </c>
      <c r="AP57" s="118"/>
      <c r="AQ57" s="9"/>
      <c r="AR57" s="118"/>
      <c r="AS57" s="138"/>
      <c r="AT57" s="9"/>
      <c r="AU57" s="118"/>
      <c r="AV57" s="138"/>
      <c r="AW57" s="9"/>
      <c r="AX57" s="118"/>
      <c r="AY57" s="138"/>
      <c r="AZ57" s="9"/>
      <c r="BA57" s="118"/>
      <c r="BB57" s="139"/>
      <c r="BC57" s="118"/>
      <c r="BD57" s="118"/>
      <c r="BE57" s="138"/>
      <c r="BF57" s="9"/>
      <c r="BG57" s="118"/>
      <c r="BH57" s="138"/>
      <c r="BI57" s="9"/>
      <c r="BJ57" s="118"/>
      <c r="BK57" s="138"/>
      <c r="BL57" s="9"/>
      <c r="BM57" s="118"/>
      <c r="BN57" s="139"/>
      <c r="BO57" s="118"/>
      <c r="BP57" s="138"/>
      <c r="BQ57" s="9"/>
      <c r="BR57" s="118"/>
      <c r="BS57" s="138"/>
      <c r="BT57" s="9"/>
      <c r="BU57" s="118"/>
      <c r="BV57" s="138"/>
      <c r="BW57" s="9"/>
      <c r="BX57" s="118"/>
      <c r="BY57" s="139"/>
      <c r="BZ57" s="118"/>
      <c r="CA57" s="9"/>
      <c r="CB57" s="118"/>
      <c r="CC57" s="139"/>
      <c r="CD57" s="9"/>
      <c r="CE57" s="9"/>
      <c r="CF57" s="132"/>
      <c r="CG57" s="133"/>
    </row>
    <row r="58" spans="1:85" ht="16" x14ac:dyDescent="0.2">
      <c r="A58" s="77"/>
      <c r="B58" s="112">
        <v>43889</v>
      </c>
      <c r="C58" s="113">
        <v>146.4057</v>
      </c>
      <c r="D58" s="119">
        <f t="shared" si="2"/>
        <v>-7.998999590913114E-2</v>
      </c>
      <c r="E58" s="112">
        <v>43889</v>
      </c>
      <c r="F58" s="113">
        <v>158.00030000000001</v>
      </c>
      <c r="G58" s="119">
        <f t="shared" si="3"/>
        <v>-8.7712784814950276E-2</v>
      </c>
      <c r="H58" s="112">
        <v>43889</v>
      </c>
      <c r="I58" s="113">
        <v>145.24590000000001</v>
      </c>
      <c r="J58" s="119">
        <f t="shared" si="4"/>
        <v>-8.5335995012500179E-2</v>
      </c>
      <c r="K58" s="112">
        <v>43889</v>
      </c>
      <c r="L58" s="113">
        <v>40.701030000000003</v>
      </c>
      <c r="M58" s="119">
        <f t="shared" si="5"/>
        <v>-5.7880548757961461E-2</v>
      </c>
      <c r="N58" s="112">
        <v>43889</v>
      </c>
      <c r="O58" s="113">
        <v>74.511259999999993</v>
      </c>
      <c r="P58" s="119">
        <f t="shared" si="6"/>
        <v>-9.6363321048157216E-2</v>
      </c>
      <c r="Q58" s="112">
        <v>43889</v>
      </c>
      <c r="R58" s="113">
        <v>77.989649999999997</v>
      </c>
      <c r="S58" s="119">
        <f t="shared" si="7"/>
        <v>-9.6979133281337143E-2</v>
      </c>
      <c r="T58" s="112">
        <v>43889</v>
      </c>
      <c r="U58" s="113">
        <v>172.35499999999999</v>
      </c>
      <c r="V58" s="119">
        <f t="shared" si="8"/>
        <v>-7.5771655996478032E-2</v>
      </c>
      <c r="W58" s="112">
        <v>43889</v>
      </c>
      <c r="X58" s="113">
        <v>171.31530000000001</v>
      </c>
      <c r="Y58" s="120">
        <f t="shared" si="9"/>
        <v>-6.2369568536961947E-2</v>
      </c>
      <c r="Z58" s="77"/>
      <c r="AA58" s="121">
        <v>43889</v>
      </c>
      <c r="AB58" s="122">
        <v>29.343869999999999</v>
      </c>
      <c r="AC58" s="123">
        <f t="shared" si="10"/>
        <v>-7.376808305064475E-2</v>
      </c>
      <c r="AD58" s="121">
        <v>43889</v>
      </c>
      <c r="AE58" s="122">
        <v>39.023260000000001</v>
      </c>
      <c r="AF58" s="123">
        <f t="shared" si="11"/>
        <v>-3.5467461363219002E-2</v>
      </c>
      <c r="AG58" s="121">
        <v>43889</v>
      </c>
      <c r="AH58" s="122">
        <v>77.836079999999995</v>
      </c>
      <c r="AI58" s="123">
        <f t="shared" si="12"/>
        <v>-7.1470545500353949E-2</v>
      </c>
      <c r="AJ58" s="121">
        <v>43889</v>
      </c>
      <c r="AK58" s="122">
        <v>20.606110000000001</v>
      </c>
      <c r="AL58" s="123">
        <f t="shared" si="13"/>
        <v>-8.4264869395340683E-2</v>
      </c>
      <c r="AM58" s="121">
        <v>43889</v>
      </c>
      <c r="AN58" s="122">
        <v>52.806710000000002</v>
      </c>
      <c r="AO58" s="124">
        <f t="shared" si="14"/>
        <v>-7.6935676010631324E-2</v>
      </c>
      <c r="AP58" s="118"/>
      <c r="AQ58" s="9"/>
      <c r="AR58" s="118"/>
      <c r="AS58" s="138"/>
      <c r="AT58" s="9"/>
      <c r="AU58" s="118"/>
      <c r="AV58" s="138"/>
      <c r="AW58" s="9"/>
      <c r="AX58" s="118"/>
      <c r="AY58" s="138"/>
      <c r="AZ58" s="9"/>
      <c r="BA58" s="118"/>
      <c r="BB58" s="139"/>
      <c r="BC58" s="118"/>
      <c r="BD58" s="118"/>
      <c r="BE58" s="138"/>
      <c r="BF58" s="9"/>
      <c r="BG58" s="118"/>
      <c r="BH58" s="138"/>
      <c r="BI58" s="9"/>
      <c r="BJ58" s="118"/>
      <c r="BK58" s="138"/>
      <c r="BL58" s="9"/>
      <c r="BM58" s="118"/>
      <c r="BN58" s="139"/>
      <c r="BO58" s="118"/>
      <c r="BP58" s="138"/>
      <c r="BQ58" s="9"/>
      <c r="BR58" s="118"/>
      <c r="BS58" s="138"/>
      <c r="BT58" s="9"/>
      <c r="BU58" s="118"/>
      <c r="BV58" s="138"/>
      <c r="BW58" s="9"/>
      <c r="BX58" s="118"/>
      <c r="BY58" s="139"/>
      <c r="BZ58" s="118"/>
      <c r="CA58" s="9"/>
      <c r="CB58" s="118"/>
      <c r="CC58" s="139"/>
      <c r="CD58" s="9"/>
      <c r="CE58" s="9"/>
      <c r="CF58" s="132"/>
      <c r="CG58" s="133"/>
    </row>
    <row r="59" spans="1:85" ht="16" x14ac:dyDescent="0.2">
      <c r="A59" s="77"/>
      <c r="B59" s="112">
        <v>43921</v>
      </c>
      <c r="C59" s="113">
        <v>126.0762</v>
      </c>
      <c r="D59" s="119">
        <f t="shared" si="2"/>
        <v>-0.13885729858878443</v>
      </c>
      <c r="E59" s="112">
        <v>43921</v>
      </c>
      <c r="F59" s="113">
        <v>128.9254</v>
      </c>
      <c r="G59" s="119">
        <f t="shared" si="3"/>
        <v>-0.18401800502910445</v>
      </c>
      <c r="H59" s="112">
        <v>43921</v>
      </c>
      <c r="I59" s="113">
        <v>113.3502</v>
      </c>
      <c r="J59" s="119">
        <f t="shared" si="4"/>
        <v>-0.21959793701577809</v>
      </c>
      <c r="K59" s="112">
        <v>43921</v>
      </c>
      <c r="L59" s="113">
        <v>36.402030000000003</v>
      </c>
      <c r="M59" s="119">
        <f t="shared" si="5"/>
        <v>-0.10562386259020962</v>
      </c>
      <c r="N59" s="112">
        <v>43921</v>
      </c>
      <c r="O59" s="113">
        <v>60.860529999999997</v>
      </c>
      <c r="P59" s="119">
        <f t="shared" si="6"/>
        <v>-0.18320358560571914</v>
      </c>
      <c r="Q59" s="112">
        <v>43921</v>
      </c>
      <c r="R59" s="113">
        <v>67.366929999999996</v>
      </c>
      <c r="S59" s="119">
        <f t="shared" si="7"/>
        <v>-0.13620679154221108</v>
      </c>
      <c r="T59" s="112">
        <v>43921</v>
      </c>
      <c r="U59" s="113">
        <v>141.6713</v>
      </c>
      <c r="V59" s="119">
        <f t="shared" si="8"/>
        <v>-0.17802616692292064</v>
      </c>
      <c r="W59" s="112">
        <v>43921</v>
      </c>
      <c r="X59" s="113">
        <v>162.74299999999999</v>
      </c>
      <c r="Y59" s="120">
        <f t="shared" si="9"/>
        <v>-5.0038146038328228E-2</v>
      </c>
      <c r="Z59" s="77"/>
      <c r="AA59" s="121">
        <v>43921</v>
      </c>
      <c r="AB59" s="122">
        <v>25.057690000000001</v>
      </c>
      <c r="AC59" s="123">
        <f t="shared" si="10"/>
        <v>-0.14606730468748663</v>
      </c>
      <c r="AD59" s="121">
        <v>43921</v>
      </c>
      <c r="AE59" s="122">
        <v>32.371040000000001</v>
      </c>
      <c r="AF59" s="123">
        <f t="shared" si="11"/>
        <v>-0.17046807468161296</v>
      </c>
      <c r="AG59" s="121">
        <v>43921</v>
      </c>
      <c r="AH59" s="122">
        <v>69.841309999999993</v>
      </c>
      <c r="AI59" s="123">
        <f t="shared" si="12"/>
        <v>-0.10271290640535859</v>
      </c>
      <c r="AJ59" s="121">
        <v>43921</v>
      </c>
      <c r="AK59" s="122">
        <v>17.02665</v>
      </c>
      <c r="AL59" s="123">
        <f t="shared" si="13"/>
        <v>-0.17370867184538957</v>
      </c>
      <c r="AM59" s="121">
        <v>43921</v>
      </c>
      <c r="AN59" s="122">
        <v>42.700760000000002</v>
      </c>
      <c r="AO59" s="124">
        <f t="shared" si="14"/>
        <v>-0.19137624745037135</v>
      </c>
      <c r="AP59" s="118"/>
      <c r="AQ59" s="9"/>
      <c r="AR59" s="118"/>
      <c r="AS59" s="138"/>
      <c r="AT59" s="9"/>
      <c r="AU59" s="118"/>
      <c r="AV59" s="138"/>
      <c r="AW59" s="9"/>
      <c r="AX59" s="118"/>
      <c r="AY59" s="138"/>
      <c r="AZ59" s="9"/>
      <c r="BA59" s="118"/>
      <c r="BB59" s="139"/>
      <c r="BC59" s="118"/>
      <c r="BD59" s="118"/>
      <c r="BE59" s="138"/>
      <c r="BF59" s="9"/>
      <c r="BG59" s="118"/>
      <c r="BH59" s="138"/>
      <c r="BI59" s="9"/>
      <c r="BJ59" s="118"/>
      <c r="BK59" s="138"/>
      <c r="BL59" s="9"/>
      <c r="BM59" s="118"/>
      <c r="BN59" s="139"/>
      <c r="BO59" s="118"/>
      <c r="BP59" s="138"/>
      <c r="BQ59" s="9"/>
      <c r="BR59" s="118"/>
      <c r="BS59" s="138"/>
      <c r="BT59" s="9"/>
      <c r="BU59" s="118"/>
      <c r="BV59" s="138"/>
      <c r="BW59" s="9"/>
      <c r="BX59" s="118"/>
      <c r="BY59" s="139"/>
      <c r="BZ59" s="118"/>
      <c r="CA59" s="9"/>
      <c r="CB59" s="118"/>
      <c r="CC59" s="139"/>
      <c r="CD59" s="9"/>
      <c r="CE59" s="9"/>
      <c r="CF59" s="132"/>
      <c r="CG59" s="133"/>
    </row>
    <row r="60" spans="1:85" ht="16" x14ac:dyDescent="0.2">
      <c r="A60" s="77"/>
      <c r="B60" s="112">
        <v>43951</v>
      </c>
      <c r="C60" s="113">
        <v>142.63399999999999</v>
      </c>
      <c r="D60" s="119">
        <f t="shared" si="2"/>
        <v>0.13133168671010062</v>
      </c>
      <c r="E60" s="112">
        <v>43951</v>
      </c>
      <c r="F60" s="113">
        <v>147.27760000000001</v>
      </c>
      <c r="G60" s="119">
        <f t="shared" si="3"/>
        <v>0.14234743502831879</v>
      </c>
      <c r="H60" s="112">
        <v>43951</v>
      </c>
      <c r="I60" s="113">
        <v>129.84610000000001</v>
      </c>
      <c r="J60" s="119">
        <f t="shared" si="4"/>
        <v>0.14553040047569396</v>
      </c>
      <c r="K60" s="112">
        <v>43951</v>
      </c>
      <c r="L60" s="113">
        <v>42.624519999999997</v>
      </c>
      <c r="M60" s="119">
        <f t="shared" si="5"/>
        <v>0.1709379943920708</v>
      </c>
      <c r="N60" s="112">
        <v>43951</v>
      </c>
      <c r="O60" s="113">
        <v>67.603489999999994</v>
      </c>
      <c r="P60" s="119">
        <f t="shared" si="6"/>
        <v>0.11079364573394278</v>
      </c>
      <c r="Q60" s="112">
        <v>43951</v>
      </c>
      <c r="R60" s="113">
        <v>74.279769999999999</v>
      </c>
      <c r="S60" s="119">
        <f t="shared" si="7"/>
        <v>0.10261473990279806</v>
      </c>
      <c r="T60" s="112">
        <v>43951</v>
      </c>
      <c r="U60" s="113">
        <v>172.73480000000001</v>
      </c>
      <c r="V60" s="119">
        <f t="shared" si="8"/>
        <v>0.21926459346388438</v>
      </c>
      <c r="W60" s="112">
        <v>43951</v>
      </c>
      <c r="X60" s="113">
        <v>184.62299999999999</v>
      </c>
      <c r="Y60" s="120">
        <f t="shared" si="9"/>
        <v>0.13444510670197793</v>
      </c>
      <c r="Z60" s="77"/>
      <c r="AA60" s="121">
        <v>43951</v>
      </c>
      <c r="AB60" s="122">
        <v>26.618950000000002</v>
      </c>
      <c r="AC60" s="123">
        <f t="shared" si="10"/>
        <v>6.23066212408247E-2</v>
      </c>
      <c r="AD60" s="121">
        <v>43951</v>
      </c>
      <c r="AE60" s="122">
        <v>34.898980000000002</v>
      </c>
      <c r="AF60" s="123">
        <f t="shared" si="11"/>
        <v>7.8092640829581034E-2</v>
      </c>
      <c r="AG60" s="121">
        <v>43951</v>
      </c>
      <c r="AH60" s="122">
        <v>74.673540000000003</v>
      </c>
      <c r="AI60" s="123">
        <f t="shared" si="12"/>
        <v>6.9188707943765804E-2</v>
      </c>
      <c r="AJ60" s="121">
        <v>43951</v>
      </c>
      <c r="AK60" s="122">
        <v>17.907</v>
      </c>
      <c r="AL60" s="123">
        <f t="shared" si="13"/>
        <v>5.1704240117697843E-2</v>
      </c>
      <c r="AM60" s="121">
        <v>43951</v>
      </c>
      <c r="AN60" s="122">
        <v>45.302970000000002</v>
      </c>
      <c r="AO60" s="124">
        <f t="shared" si="14"/>
        <v>6.0940601525593441E-2</v>
      </c>
      <c r="AP60" s="118"/>
      <c r="AQ60" s="9"/>
      <c r="AR60" s="118"/>
      <c r="AS60" s="138"/>
      <c r="AT60" s="9"/>
      <c r="AU60" s="118"/>
      <c r="AV60" s="138"/>
      <c r="AW60" s="9"/>
      <c r="AX60" s="118"/>
      <c r="AY60" s="138"/>
      <c r="AZ60" s="9"/>
      <c r="BA60" s="118"/>
      <c r="BB60" s="139"/>
      <c r="BC60" s="118"/>
      <c r="BD60" s="118"/>
      <c r="BE60" s="138"/>
      <c r="BF60" s="9"/>
      <c r="BG60" s="118"/>
      <c r="BH60" s="138"/>
      <c r="BI60" s="9"/>
      <c r="BJ60" s="118"/>
      <c r="BK60" s="138"/>
      <c r="BL60" s="9"/>
      <c r="BM60" s="118"/>
      <c r="BN60" s="139"/>
      <c r="BO60" s="118"/>
      <c r="BP60" s="138"/>
      <c r="BQ60" s="9"/>
      <c r="BR60" s="118"/>
      <c r="BS60" s="138"/>
      <c r="BT60" s="9"/>
      <c r="BU60" s="118"/>
      <c r="BV60" s="138"/>
      <c r="BW60" s="9"/>
      <c r="BX60" s="118"/>
      <c r="BY60" s="139"/>
      <c r="BZ60" s="118"/>
      <c r="CA60" s="9"/>
      <c r="CB60" s="118"/>
      <c r="CC60" s="139"/>
      <c r="CD60" s="9"/>
      <c r="CE60" s="9"/>
      <c r="CF60" s="132"/>
      <c r="CG60" s="133"/>
    </row>
    <row r="61" spans="1:85" ht="16" x14ac:dyDescent="0.2">
      <c r="A61" s="77"/>
      <c r="B61" s="112">
        <v>43980</v>
      </c>
      <c r="C61" s="113">
        <v>150.33099999999999</v>
      </c>
      <c r="D61" s="119">
        <f t="shared" si="2"/>
        <v>5.396329066001096E-2</v>
      </c>
      <c r="E61" s="112">
        <v>43980</v>
      </c>
      <c r="F61" s="113">
        <v>157.98140000000001</v>
      </c>
      <c r="G61" s="119">
        <f t="shared" si="3"/>
        <v>7.2677718811278838E-2</v>
      </c>
      <c r="H61" s="112">
        <v>43980</v>
      </c>
      <c r="I61" s="113">
        <v>139.78290000000001</v>
      </c>
      <c r="J61" s="119">
        <f t="shared" si="4"/>
        <v>7.6527519887004722E-2</v>
      </c>
      <c r="K61" s="112">
        <v>43980</v>
      </c>
      <c r="L61" s="113">
        <v>46.442639999999997</v>
      </c>
      <c r="M61" s="119">
        <f t="shared" si="5"/>
        <v>8.9575671467971976E-2</v>
      </c>
      <c r="N61" s="112">
        <v>43980</v>
      </c>
      <c r="O61" s="113">
        <v>69.941299999999998</v>
      </c>
      <c r="P61" s="119">
        <f t="shared" si="6"/>
        <v>3.4581202834350781E-2</v>
      </c>
      <c r="Q61" s="112">
        <v>43980</v>
      </c>
      <c r="R61" s="113">
        <v>76.384100000000004</v>
      </c>
      <c r="S61" s="119">
        <f t="shared" si="7"/>
        <v>2.8329786158465549E-2</v>
      </c>
      <c r="T61" s="112">
        <v>43980</v>
      </c>
      <c r="U61" s="113">
        <v>185.3082</v>
      </c>
      <c r="V61" s="119">
        <f t="shared" si="8"/>
        <v>7.2790196300919055E-2</v>
      </c>
      <c r="W61" s="112">
        <v>43980</v>
      </c>
      <c r="X61" s="113">
        <v>192.65770000000001</v>
      </c>
      <c r="Y61" s="120">
        <f t="shared" si="9"/>
        <v>4.3519496487436644E-2</v>
      </c>
      <c r="Z61" s="77"/>
      <c r="AA61" s="121">
        <v>43980</v>
      </c>
      <c r="AB61" s="122">
        <v>28.044450000000001</v>
      </c>
      <c r="AC61" s="123">
        <f t="shared" si="10"/>
        <v>5.3552074743744571E-2</v>
      </c>
      <c r="AD61" s="121">
        <v>43980</v>
      </c>
      <c r="AE61" s="122">
        <v>36.047159999999998</v>
      </c>
      <c r="AF61" s="123">
        <f t="shared" si="11"/>
        <v>3.2900101951403631E-2</v>
      </c>
      <c r="AG61" s="121">
        <v>43980</v>
      </c>
      <c r="AH61" s="122">
        <v>79.427189999999996</v>
      </c>
      <c r="AI61" s="123">
        <f t="shared" si="12"/>
        <v>6.3659095310065555E-2</v>
      </c>
      <c r="AJ61" s="121">
        <v>43980</v>
      </c>
      <c r="AK61" s="122">
        <v>18.709959999999999</v>
      </c>
      <c r="AL61" s="123">
        <f t="shared" si="13"/>
        <v>4.4840565142123125E-2</v>
      </c>
      <c r="AM61" s="121">
        <v>43980</v>
      </c>
      <c r="AN61" s="122">
        <v>47.000050000000002</v>
      </c>
      <c r="AO61" s="124">
        <f t="shared" si="14"/>
        <v>3.7460678626588931E-2</v>
      </c>
      <c r="AP61" s="118"/>
      <c r="AQ61" s="9"/>
      <c r="AR61" s="118"/>
      <c r="AS61" s="138"/>
      <c r="AT61" s="9"/>
      <c r="AU61" s="118"/>
      <c r="AV61" s="138"/>
      <c r="AW61" s="9"/>
      <c r="AX61" s="118"/>
      <c r="AY61" s="138"/>
      <c r="AZ61" s="9"/>
      <c r="BA61" s="118"/>
      <c r="BB61" s="139"/>
      <c r="BC61" s="118"/>
      <c r="BD61" s="118"/>
      <c r="BE61" s="138"/>
      <c r="BF61" s="9"/>
      <c r="BG61" s="118"/>
      <c r="BH61" s="138"/>
      <c r="BI61" s="9"/>
      <c r="BJ61" s="118"/>
      <c r="BK61" s="138"/>
      <c r="BL61" s="9"/>
      <c r="BM61" s="118"/>
      <c r="BN61" s="139"/>
      <c r="BO61" s="118"/>
      <c r="BP61" s="138"/>
      <c r="BQ61" s="9"/>
      <c r="BR61" s="118"/>
      <c r="BS61" s="138"/>
      <c r="BT61" s="9"/>
      <c r="BU61" s="118"/>
      <c r="BV61" s="138"/>
      <c r="BW61" s="9"/>
      <c r="BX61" s="118"/>
      <c r="BY61" s="139"/>
      <c r="BZ61" s="118"/>
      <c r="CA61" s="9"/>
      <c r="CB61" s="118"/>
      <c r="CC61" s="139"/>
      <c r="CD61" s="9"/>
      <c r="CE61" s="9"/>
      <c r="CF61" s="132"/>
      <c r="CG61" s="133"/>
    </row>
    <row r="62" spans="1:85" ht="16" x14ac:dyDescent="0.2">
      <c r="A62" s="77"/>
      <c r="B62" s="112">
        <v>44012</v>
      </c>
      <c r="C62" s="113">
        <v>153.7859</v>
      </c>
      <c r="D62" s="119">
        <f t="shared" si="2"/>
        <v>2.2981953156700943E-2</v>
      </c>
      <c r="E62" s="112">
        <v>44012</v>
      </c>
      <c r="F62" s="113">
        <v>161.1798</v>
      </c>
      <c r="G62" s="119">
        <f t="shared" si="3"/>
        <v>2.0245421296431049E-2</v>
      </c>
      <c r="H62" s="112">
        <v>44012</v>
      </c>
      <c r="I62" s="113">
        <v>143.40450000000001</v>
      </c>
      <c r="J62" s="119">
        <f t="shared" si="4"/>
        <v>2.5908748494987588E-2</v>
      </c>
      <c r="K62" s="112">
        <v>44012</v>
      </c>
      <c r="L62" s="113">
        <v>49.395200000000003</v>
      </c>
      <c r="M62" s="119">
        <f t="shared" si="5"/>
        <v>6.357433599812598E-2</v>
      </c>
      <c r="N62" s="112">
        <v>44012</v>
      </c>
      <c r="O62" s="113">
        <v>70.20823</v>
      </c>
      <c r="P62" s="119">
        <f t="shared" si="6"/>
        <v>3.8164861104955459E-3</v>
      </c>
      <c r="Q62" s="112">
        <v>44012</v>
      </c>
      <c r="R62" s="113">
        <v>75.801090000000002</v>
      </c>
      <c r="S62" s="119">
        <f t="shared" si="7"/>
        <v>-7.6326094043132221E-3</v>
      </c>
      <c r="T62" s="112">
        <v>44012</v>
      </c>
      <c r="U62" s="113">
        <v>195.47739999999999</v>
      </c>
      <c r="V62" s="119">
        <f t="shared" si="8"/>
        <v>5.4877226156208894E-2</v>
      </c>
      <c r="W62" s="112">
        <v>44012</v>
      </c>
      <c r="X62" s="113">
        <v>189.50829999999999</v>
      </c>
      <c r="Y62" s="120">
        <f t="shared" si="9"/>
        <v>-1.6347127573930417E-2</v>
      </c>
      <c r="Z62" s="77"/>
      <c r="AA62" s="121">
        <v>44012</v>
      </c>
      <c r="AB62" s="122">
        <v>29.076789999999999</v>
      </c>
      <c r="AC62" s="123">
        <f t="shared" si="10"/>
        <v>3.68108484923041E-2</v>
      </c>
      <c r="AD62" s="121">
        <v>44012</v>
      </c>
      <c r="AE62" s="122">
        <v>38.381999999999998</v>
      </c>
      <c r="AF62" s="123">
        <f t="shared" si="11"/>
        <v>6.4771815588246059E-2</v>
      </c>
      <c r="AG62" s="121">
        <v>44012</v>
      </c>
      <c r="AH62" s="122">
        <v>82.134609999999995</v>
      </c>
      <c r="AI62" s="123">
        <f t="shared" si="12"/>
        <v>3.4086815862426949E-2</v>
      </c>
      <c r="AJ62" s="121">
        <v>44012</v>
      </c>
      <c r="AK62" s="122">
        <v>19.091470000000001</v>
      </c>
      <c r="AL62" s="123">
        <f t="shared" si="13"/>
        <v>2.0390743753594464E-2</v>
      </c>
      <c r="AM62" s="121">
        <v>44012</v>
      </c>
      <c r="AN62" s="122">
        <v>48.745869999999996</v>
      </c>
      <c r="AO62" s="124">
        <f t="shared" si="14"/>
        <v>3.714506686695003E-2</v>
      </c>
      <c r="AP62" s="118"/>
      <c r="AQ62" s="9"/>
      <c r="AR62" s="118"/>
      <c r="AS62" s="138"/>
      <c r="AT62" s="9"/>
      <c r="AU62" s="118"/>
      <c r="AV62" s="138"/>
      <c r="AW62" s="9"/>
      <c r="AX62" s="118"/>
      <c r="AY62" s="138"/>
      <c r="AZ62" s="9"/>
      <c r="BA62" s="118"/>
      <c r="BB62" s="139"/>
      <c r="BC62" s="118"/>
      <c r="BD62" s="118"/>
      <c r="BE62" s="138"/>
      <c r="BF62" s="9"/>
      <c r="BG62" s="118"/>
      <c r="BH62" s="138"/>
      <c r="BI62" s="9"/>
      <c r="BJ62" s="118"/>
      <c r="BK62" s="138"/>
      <c r="BL62" s="9"/>
      <c r="BM62" s="118"/>
      <c r="BN62" s="139"/>
      <c r="BO62" s="118"/>
      <c r="BP62" s="138"/>
      <c r="BQ62" s="9"/>
      <c r="BR62" s="118"/>
      <c r="BS62" s="138"/>
      <c r="BT62" s="9"/>
      <c r="BU62" s="118"/>
      <c r="BV62" s="138"/>
      <c r="BW62" s="9"/>
      <c r="BX62" s="118"/>
      <c r="BY62" s="139"/>
      <c r="BZ62" s="118"/>
      <c r="CA62" s="9"/>
      <c r="CB62" s="118"/>
      <c r="CC62" s="139"/>
      <c r="CD62" s="9"/>
      <c r="CE62" s="9"/>
      <c r="CF62" s="132"/>
      <c r="CG62" s="133"/>
    </row>
    <row r="63" spans="1:85" ht="16" x14ac:dyDescent="0.2">
      <c r="A63" s="77"/>
      <c r="B63" s="112">
        <v>44043</v>
      </c>
      <c r="C63" s="113">
        <v>162.6183</v>
      </c>
      <c r="D63" s="119">
        <f t="shared" si="2"/>
        <v>5.7433093671136345E-2</v>
      </c>
      <c r="E63" s="112">
        <v>44043</v>
      </c>
      <c r="F63" s="113">
        <v>171.3869</v>
      </c>
      <c r="G63" s="119">
        <f t="shared" si="3"/>
        <v>6.3327414477496541E-2</v>
      </c>
      <c r="H63" s="112">
        <v>44043</v>
      </c>
      <c r="I63" s="113">
        <v>149.99799999999999</v>
      </c>
      <c r="J63" s="119">
        <f t="shared" si="4"/>
        <v>4.5978334013228157E-2</v>
      </c>
      <c r="K63" s="112">
        <v>44043</v>
      </c>
      <c r="L63" s="113">
        <v>53.732660000000003</v>
      </c>
      <c r="M63" s="119">
        <f t="shared" si="5"/>
        <v>8.7811366286602743E-2</v>
      </c>
      <c r="N63" s="112">
        <v>44043</v>
      </c>
      <c r="O63" s="113">
        <v>70.946470000000005</v>
      </c>
      <c r="P63" s="119">
        <f t="shared" si="6"/>
        <v>1.0515006574015677E-2</v>
      </c>
      <c r="Q63" s="112">
        <v>44043</v>
      </c>
      <c r="R63" s="113">
        <v>78.129580000000004</v>
      </c>
      <c r="S63" s="119">
        <f t="shared" si="7"/>
        <v>3.071842370604436E-2</v>
      </c>
      <c r="T63" s="112">
        <v>44043</v>
      </c>
      <c r="U63" s="113">
        <v>213.48089999999999</v>
      </c>
      <c r="V63" s="119">
        <f t="shared" si="8"/>
        <v>9.2100160939320885E-2</v>
      </c>
      <c r="W63" s="112">
        <v>44043</v>
      </c>
      <c r="X63" s="113">
        <v>199.38460000000001</v>
      </c>
      <c r="Y63" s="120">
        <f t="shared" si="9"/>
        <v>5.2115395473443724E-2</v>
      </c>
      <c r="Z63" s="77"/>
      <c r="AA63" s="121">
        <v>44043</v>
      </c>
      <c r="AB63" s="122">
        <v>29.7805</v>
      </c>
      <c r="AC63" s="123">
        <f t="shared" si="10"/>
        <v>2.4201777431415262E-2</v>
      </c>
      <c r="AD63" s="121">
        <v>44043</v>
      </c>
      <c r="AE63" s="122">
        <v>41.676589999999997</v>
      </c>
      <c r="AF63" s="123">
        <f t="shared" si="11"/>
        <v>8.5836850607055384E-2</v>
      </c>
      <c r="AG63" s="121">
        <v>44043</v>
      </c>
      <c r="AH63" s="122">
        <v>85.405770000000004</v>
      </c>
      <c r="AI63" s="123">
        <f t="shared" si="12"/>
        <v>3.9826816003631221E-2</v>
      </c>
      <c r="AJ63" s="121">
        <v>44043</v>
      </c>
      <c r="AK63" s="122">
        <v>18.6418</v>
      </c>
      <c r="AL63" s="123">
        <f t="shared" si="13"/>
        <v>-2.3553450834325543E-2</v>
      </c>
      <c r="AM63" s="121">
        <v>44043</v>
      </c>
      <c r="AN63" s="122">
        <v>50.050460000000001</v>
      </c>
      <c r="AO63" s="124">
        <f t="shared" si="14"/>
        <v>2.6763087826722647E-2</v>
      </c>
      <c r="AP63" s="118"/>
      <c r="AQ63" s="9"/>
      <c r="AR63" s="118"/>
      <c r="AS63" s="138"/>
      <c r="AT63" s="9"/>
      <c r="AU63" s="118"/>
      <c r="AV63" s="138"/>
      <c r="AW63" s="9"/>
      <c r="AX63" s="118"/>
      <c r="AY63" s="138"/>
      <c r="AZ63" s="9"/>
      <c r="BA63" s="118"/>
      <c r="BB63" s="139"/>
      <c r="BC63" s="118"/>
      <c r="BD63" s="118"/>
      <c r="BE63" s="138"/>
      <c r="BF63" s="9"/>
      <c r="BG63" s="118"/>
      <c r="BH63" s="138"/>
      <c r="BI63" s="9"/>
      <c r="BJ63" s="118"/>
      <c r="BK63" s="138"/>
      <c r="BL63" s="9"/>
      <c r="BM63" s="118"/>
      <c r="BN63" s="139"/>
      <c r="BO63" s="118"/>
      <c r="BP63" s="138"/>
      <c r="BQ63" s="9"/>
      <c r="BR63" s="118"/>
      <c r="BS63" s="138"/>
      <c r="BT63" s="9"/>
      <c r="BU63" s="118"/>
      <c r="BV63" s="138"/>
      <c r="BW63" s="9"/>
      <c r="BX63" s="118"/>
      <c r="BY63" s="139"/>
      <c r="BZ63" s="118"/>
      <c r="CA63" s="9"/>
      <c r="CB63" s="118"/>
      <c r="CC63" s="139"/>
      <c r="CD63" s="9"/>
      <c r="CE63" s="9"/>
      <c r="CF63" s="132"/>
      <c r="CG63" s="133"/>
    </row>
    <row r="64" spans="1:85" ht="16" x14ac:dyDescent="0.2">
      <c r="A64" s="77"/>
      <c r="B64" s="112">
        <v>44074</v>
      </c>
      <c r="C64" s="113">
        <v>174.1721</v>
      </c>
      <c r="D64" s="119">
        <f t="shared" si="2"/>
        <v>7.1048584322920577E-2</v>
      </c>
      <c r="E64" s="112">
        <v>44074</v>
      </c>
      <c r="F64" s="113">
        <v>176.84440000000001</v>
      </c>
      <c r="G64" s="119">
        <f t="shared" si="3"/>
        <v>3.1843157207464577E-2</v>
      </c>
      <c r="H64" s="112">
        <v>44074</v>
      </c>
      <c r="I64" s="113">
        <v>155.94210000000001</v>
      </c>
      <c r="J64" s="119">
        <f t="shared" si="4"/>
        <v>3.9627861704822867E-2</v>
      </c>
      <c r="K64" s="112">
        <v>44074</v>
      </c>
      <c r="L64" s="113">
        <v>59.782040000000002</v>
      </c>
      <c r="M64" s="119">
        <f t="shared" si="5"/>
        <v>0.11258292442622418</v>
      </c>
      <c r="N64" s="112">
        <v>44074</v>
      </c>
      <c r="O64" s="113">
        <v>73.675910000000002</v>
      </c>
      <c r="P64" s="119">
        <f t="shared" si="6"/>
        <v>3.8471822488137838E-2</v>
      </c>
      <c r="Q64" s="112">
        <v>44074</v>
      </c>
      <c r="R64" s="113">
        <v>80.621639999999999</v>
      </c>
      <c r="S64" s="119">
        <f t="shared" si="7"/>
        <v>3.1896498099695338E-2</v>
      </c>
      <c r="T64" s="112">
        <v>44074</v>
      </c>
      <c r="U64" s="113">
        <v>241.12139999999999</v>
      </c>
      <c r="V64" s="119">
        <f t="shared" si="8"/>
        <v>0.12947528326890137</v>
      </c>
      <c r="W64" s="112">
        <v>44074</v>
      </c>
      <c r="X64" s="113">
        <v>204.0866</v>
      </c>
      <c r="Y64" s="120">
        <f t="shared" si="9"/>
        <v>2.35825635480373E-2</v>
      </c>
      <c r="Z64" s="77"/>
      <c r="AA64" s="121">
        <v>44074</v>
      </c>
      <c r="AB64" s="122">
        <v>31.246549999999999</v>
      </c>
      <c r="AC64" s="123">
        <f t="shared" si="10"/>
        <v>4.9228522019442222E-2</v>
      </c>
      <c r="AD64" s="121">
        <v>44074</v>
      </c>
      <c r="AE64" s="122">
        <v>42.820010000000003</v>
      </c>
      <c r="AF64" s="123">
        <f t="shared" si="11"/>
        <v>2.7435545950376606E-2</v>
      </c>
      <c r="AG64" s="121">
        <v>44074</v>
      </c>
      <c r="AH64" s="122">
        <v>89.032690000000002</v>
      </c>
      <c r="AI64" s="123">
        <f t="shared" si="12"/>
        <v>4.2466919975078947E-2</v>
      </c>
      <c r="AJ64" s="121">
        <v>44074</v>
      </c>
      <c r="AK64" s="122">
        <v>19.775749999999999</v>
      </c>
      <c r="AL64" s="123">
        <f t="shared" si="13"/>
        <v>6.0828353485178399E-2</v>
      </c>
      <c r="AM64" s="121">
        <v>44074</v>
      </c>
      <c r="AN64" s="122">
        <v>51.793080000000003</v>
      </c>
      <c r="AO64" s="124">
        <f t="shared" si="14"/>
        <v>3.4817262418767023E-2</v>
      </c>
      <c r="AP64" s="118"/>
      <c r="AQ64" s="9"/>
      <c r="AR64" s="118"/>
      <c r="AS64" s="138"/>
      <c r="AT64" s="9"/>
      <c r="AU64" s="118"/>
      <c r="AV64" s="138"/>
      <c r="AW64" s="9"/>
      <c r="AX64" s="118"/>
      <c r="AY64" s="138"/>
      <c r="AZ64" s="9"/>
      <c r="BA64" s="118"/>
      <c r="BB64" s="139"/>
      <c r="BC64" s="118"/>
      <c r="BD64" s="118"/>
      <c r="BE64" s="138"/>
      <c r="BF64" s="9"/>
      <c r="BG64" s="118"/>
      <c r="BH64" s="138"/>
      <c r="BI64" s="9"/>
      <c r="BJ64" s="118"/>
      <c r="BK64" s="138"/>
      <c r="BL64" s="9"/>
      <c r="BM64" s="118"/>
      <c r="BN64" s="139"/>
      <c r="BO64" s="118"/>
      <c r="BP64" s="138"/>
      <c r="BQ64" s="9"/>
      <c r="BR64" s="118"/>
      <c r="BS64" s="138"/>
      <c r="BT64" s="9"/>
      <c r="BU64" s="118"/>
      <c r="BV64" s="138"/>
      <c r="BW64" s="9"/>
      <c r="BX64" s="118"/>
      <c r="BY64" s="139"/>
      <c r="BZ64" s="118"/>
      <c r="CA64" s="9"/>
      <c r="CB64" s="118"/>
      <c r="CC64" s="139"/>
      <c r="CD64" s="9"/>
      <c r="CE64" s="9"/>
      <c r="CF64" s="132"/>
      <c r="CG64" s="133"/>
    </row>
    <row r="65" spans="1:85" ht="16" x14ac:dyDescent="0.2">
      <c r="A65" s="77"/>
      <c r="B65" s="112">
        <v>44104</v>
      </c>
      <c r="C65" s="113">
        <v>168.01070000000001</v>
      </c>
      <c r="D65" s="119">
        <f t="shared" si="2"/>
        <v>-3.5375355754451984E-2</v>
      </c>
      <c r="E65" s="112">
        <v>44104</v>
      </c>
      <c r="F65" s="113">
        <v>174.00120000000001</v>
      </c>
      <c r="G65" s="119">
        <f t="shared" si="3"/>
        <v>-1.6077410424078998E-2</v>
      </c>
      <c r="H65" s="112">
        <v>44104</v>
      </c>
      <c r="I65" s="113">
        <v>151.91220000000001</v>
      </c>
      <c r="J65" s="119">
        <f t="shared" si="4"/>
        <v>-2.584228377070719E-2</v>
      </c>
      <c r="K65" s="112">
        <v>44104</v>
      </c>
      <c r="L65" s="113">
        <v>57.156480000000002</v>
      </c>
      <c r="M65" s="119">
        <f t="shared" si="5"/>
        <v>-4.3918875970107407E-2</v>
      </c>
      <c r="N65" s="112">
        <v>44104</v>
      </c>
      <c r="O65" s="113">
        <v>72.135670000000005</v>
      </c>
      <c r="P65" s="119">
        <f t="shared" si="6"/>
        <v>-2.0905612160066936E-2</v>
      </c>
      <c r="Q65" s="112">
        <v>44104</v>
      </c>
      <c r="R65" s="113">
        <v>78.540790000000001</v>
      </c>
      <c r="S65" s="119">
        <f t="shared" si="7"/>
        <v>-2.5810067867634522E-2</v>
      </c>
      <c r="T65" s="112">
        <v>44104</v>
      </c>
      <c r="U65" s="113">
        <v>233.08340000000001</v>
      </c>
      <c r="V65" s="119">
        <f t="shared" si="8"/>
        <v>-3.3335904652179289E-2</v>
      </c>
      <c r="W65" s="112">
        <v>44104</v>
      </c>
      <c r="X65" s="113">
        <v>201.31100000000001</v>
      </c>
      <c r="Y65" s="120">
        <f t="shared" si="9"/>
        <v>-1.3600108973347574E-2</v>
      </c>
      <c r="Z65" s="77"/>
      <c r="AA65" s="121">
        <v>44104</v>
      </c>
      <c r="AB65" s="122">
        <v>30.689450000000001</v>
      </c>
      <c r="AC65" s="123">
        <f t="shared" si="10"/>
        <v>-1.7829168340184706E-2</v>
      </c>
      <c r="AD65" s="121">
        <v>44104</v>
      </c>
      <c r="AE65" s="122">
        <v>42.307969999999997</v>
      </c>
      <c r="AF65" s="123">
        <f t="shared" si="11"/>
        <v>-1.1957960775814999E-2</v>
      </c>
      <c r="AG65" s="121">
        <v>44104</v>
      </c>
      <c r="AH65" s="122">
        <v>88.825159999999997</v>
      </c>
      <c r="AI65" s="123">
        <f t="shared" si="12"/>
        <v>-2.3309415901058986E-3</v>
      </c>
      <c r="AJ65" s="121">
        <v>44104</v>
      </c>
      <c r="AK65" s="122">
        <v>19.130569999999999</v>
      </c>
      <c r="AL65" s="123">
        <f t="shared" si="13"/>
        <v>-3.2624805633161821E-2</v>
      </c>
      <c r="AM65" s="121">
        <v>44104</v>
      </c>
      <c r="AN65" s="122">
        <v>50.107770000000002</v>
      </c>
      <c r="AO65" s="124">
        <f t="shared" si="14"/>
        <v>-3.2539289032434471E-2</v>
      </c>
      <c r="AP65" s="118"/>
      <c r="AQ65" s="9"/>
      <c r="AR65" s="118"/>
      <c r="AS65" s="138"/>
      <c r="AT65" s="9"/>
      <c r="AU65" s="118"/>
      <c r="AV65" s="138"/>
      <c r="AW65" s="9"/>
      <c r="AX65" s="118"/>
      <c r="AY65" s="138"/>
      <c r="AZ65" s="9"/>
      <c r="BA65" s="118"/>
      <c r="BB65" s="139"/>
      <c r="BC65" s="118"/>
      <c r="BD65" s="118"/>
      <c r="BE65" s="138"/>
      <c r="BF65" s="9"/>
      <c r="BG65" s="118"/>
      <c r="BH65" s="138"/>
      <c r="BI65" s="9"/>
      <c r="BJ65" s="118"/>
      <c r="BK65" s="138"/>
      <c r="BL65" s="9"/>
      <c r="BM65" s="118"/>
      <c r="BN65" s="139"/>
      <c r="BO65" s="118"/>
      <c r="BP65" s="138"/>
      <c r="BQ65" s="9"/>
      <c r="BR65" s="118"/>
      <c r="BS65" s="138"/>
      <c r="BT65" s="9"/>
      <c r="BU65" s="118"/>
      <c r="BV65" s="138"/>
      <c r="BW65" s="9"/>
      <c r="BX65" s="118"/>
      <c r="BY65" s="139"/>
      <c r="BZ65" s="118"/>
      <c r="CA65" s="9"/>
      <c r="CB65" s="118"/>
      <c r="CC65" s="139"/>
      <c r="CD65" s="9"/>
      <c r="CE65" s="9"/>
      <c r="CF65" s="118"/>
      <c r="CG65" s="133"/>
    </row>
    <row r="66" spans="1:85" ht="16" x14ac:dyDescent="0.2">
      <c r="A66" s="77"/>
      <c r="B66" s="112">
        <v>44134</v>
      </c>
      <c r="C66" s="113">
        <v>164.7355</v>
      </c>
      <c r="D66" s="119">
        <f t="shared" si="2"/>
        <v>-1.9493996513317378E-2</v>
      </c>
      <c r="E66" s="112">
        <v>44134</v>
      </c>
      <c r="F66" s="113">
        <v>173.8827</v>
      </c>
      <c r="G66" s="119">
        <f t="shared" si="3"/>
        <v>-6.8102978600154249E-4</v>
      </c>
      <c r="H66" s="112">
        <v>44134</v>
      </c>
      <c r="I66" s="113">
        <v>155.1816</v>
      </c>
      <c r="J66" s="119">
        <f t="shared" si="4"/>
        <v>2.1521642106427201E-2</v>
      </c>
      <c r="K66" s="112">
        <v>44134</v>
      </c>
      <c r="L66" s="113">
        <v>55.107959999999999</v>
      </c>
      <c r="M66" s="119">
        <f t="shared" si="5"/>
        <v>-3.5840555611542264E-2</v>
      </c>
      <c r="N66" s="112">
        <v>44134</v>
      </c>
      <c r="O66" s="113">
        <v>71.363280000000003</v>
      </c>
      <c r="P66" s="119">
        <f t="shared" si="6"/>
        <v>-1.0707462757329369E-2</v>
      </c>
      <c r="Q66" s="112">
        <v>44134</v>
      </c>
      <c r="R66" s="113">
        <v>77.191829999999996</v>
      </c>
      <c r="S66" s="119">
        <f t="shared" si="7"/>
        <v>-1.717527924025217E-2</v>
      </c>
      <c r="T66" s="112">
        <v>44134</v>
      </c>
      <c r="U66" s="113">
        <v>227.61940000000001</v>
      </c>
      <c r="V66" s="119">
        <f t="shared" si="8"/>
        <v>-2.3442252858847941E-2</v>
      </c>
      <c r="W66" s="112">
        <v>44134</v>
      </c>
      <c r="X66" s="113">
        <v>195.53809999999999</v>
      </c>
      <c r="Y66" s="120">
        <f t="shared" si="9"/>
        <v>-2.8676525376159379E-2</v>
      </c>
      <c r="Z66" s="77"/>
      <c r="AA66" s="121">
        <v>44134</v>
      </c>
      <c r="AB66" s="122">
        <v>29.633890000000001</v>
      </c>
      <c r="AC66" s="123">
        <f t="shared" si="10"/>
        <v>-3.4394881628703015E-2</v>
      </c>
      <c r="AD66" s="121">
        <v>44134</v>
      </c>
      <c r="AE66" s="122">
        <v>42.865679999999998</v>
      </c>
      <c r="AF66" s="123">
        <f t="shared" si="11"/>
        <v>1.3182149840798322E-2</v>
      </c>
      <c r="AG66" s="121">
        <v>44134</v>
      </c>
      <c r="AH66" s="122">
        <v>85.287189999999995</v>
      </c>
      <c r="AI66" s="123">
        <f t="shared" si="12"/>
        <v>-3.9830719134083196E-2</v>
      </c>
      <c r="AJ66" s="121">
        <v>44134</v>
      </c>
      <c r="AK66" s="122">
        <v>18.358309999999999</v>
      </c>
      <c r="AL66" s="123">
        <f t="shared" si="13"/>
        <v>-4.0367851036325592E-2</v>
      </c>
      <c r="AM66" s="121">
        <v>44134</v>
      </c>
      <c r="AN66" s="122">
        <v>48.760269999999998</v>
      </c>
      <c r="AO66" s="124">
        <f t="shared" si="14"/>
        <v>-2.6892036903657927E-2</v>
      </c>
      <c r="AP66" s="118"/>
      <c r="AQ66" s="9"/>
      <c r="AR66" s="118"/>
      <c r="AS66" s="138"/>
      <c r="AT66" s="9"/>
      <c r="AU66" s="118"/>
      <c r="AV66" s="138"/>
      <c r="AW66" s="9"/>
      <c r="AX66" s="118"/>
      <c r="AY66" s="138"/>
      <c r="AZ66" s="9"/>
      <c r="BA66" s="118"/>
      <c r="BB66" s="139"/>
      <c r="BC66" s="118"/>
      <c r="BD66" s="118"/>
      <c r="BE66" s="138"/>
      <c r="BF66" s="9"/>
      <c r="BG66" s="118"/>
      <c r="BH66" s="138"/>
      <c r="BI66" s="9"/>
      <c r="BJ66" s="118"/>
      <c r="BK66" s="138"/>
      <c r="BL66" s="9"/>
      <c r="BM66" s="118"/>
      <c r="BN66" s="139"/>
      <c r="BO66" s="118"/>
      <c r="BP66" s="138"/>
      <c r="BQ66" s="9"/>
      <c r="BR66" s="118"/>
      <c r="BS66" s="138"/>
      <c r="BT66" s="9"/>
      <c r="BU66" s="118"/>
      <c r="BV66" s="138"/>
      <c r="BW66" s="9"/>
      <c r="BX66" s="118"/>
      <c r="BY66" s="139"/>
      <c r="BZ66" s="118"/>
      <c r="CA66" s="9"/>
      <c r="CB66" s="118"/>
      <c r="CC66" s="139"/>
      <c r="CD66" s="9"/>
      <c r="CE66" s="9"/>
      <c r="CF66" s="132"/>
      <c r="CG66" s="133"/>
    </row>
    <row r="67" spans="1:85" ht="16" x14ac:dyDescent="0.2">
      <c r="A67" s="77"/>
      <c r="B67" s="112">
        <v>44165</v>
      </c>
      <c r="C67" s="113">
        <v>184.17939999999999</v>
      </c>
      <c r="D67" s="119">
        <f t="shared" si="2"/>
        <v>0.11803102549238012</v>
      </c>
      <c r="E67" s="112">
        <v>44165</v>
      </c>
      <c r="F67" s="113">
        <v>197.12100000000001</v>
      </c>
      <c r="G67" s="119">
        <f t="shared" si="3"/>
        <v>0.13364354245707025</v>
      </c>
      <c r="H67" s="112">
        <v>44165</v>
      </c>
      <c r="I67" s="113">
        <v>179.66730000000001</v>
      </c>
      <c r="J67" s="119">
        <f t="shared" si="4"/>
        <v>0.15778739231970806</v>
      </c>
      <c r="K67" s="112">
        <v>44165</v>
      </c>
      <c r="L67" s="113">
        <v>62.503770000000003</v>
      </c>
      <c r="M67" s="119">
        <f t="shared" si="5"/>
        <v>0.13420583886610946</v>
      </c>
      <c r="N67" s="112">
        <v>44165</v>
      </c>
      <c r="O67" s="113">
        <v>83.086070000000007</v>
      </c>
      <c r="P67" s="119">
        <f t="shared" si="6"/>
        <v>0.16426921520423393</v>
      </c>
      <c r="Q67" s="112">
        <v>44165</v>
      </c>
      <c r="R67" s="113">
        <v>86.653989999999993</v>
      </c>
      <c r="S67" s="119">
        <f t="shared" si="7"/>
        <v>0.12257981187905505</v>
      </c>
      <c r="T67" s="112">
        <v>44165</v>
      </c>
      <c r="U67" s="113">
        <v>259.76749999999998</v>
      </c>
      <c r="V67" s="119">
        <f t="shared" si="8"/>
        <v>0.14123620394395192</v>
      </c>
      <c r="W67" s="112">
        <v>44165</v>
      </c>
      <c r="X67" s="113">
        <v>212.81729999999999</v>
      </c>
      <c r="Y67" s="120">
        <f t="shared" si="9"/>
        <v>8.8367433252138611E-2</v>
      </c>
      <c r="Z67" s="77"/>
      <c r="AA67" s="121">
        <v>44165</v>
      </c>
      <c r="AB67" s="122">
        <v>33.836590000000001</v>
      </c>
      <c r="AC67" s="123">
        <f t="shared" si="10"/>
        <v>0.14182073295136075</v>
      </c>
      <c r="AD67" s="121">
        <v>44165</v>
      </c>
      <c r="AE67" s="122">
        <v>46.534849999999999</v>
      </c>
      <c r="AF67" s="123">
        <f t="shared" si="11"/>
        <v>8.5596915761047096E-2</v>
      </c>
      <c r="AG67" s="121">
        <v>44165</v>
      </c>
      <c r="AH67" s="122">
        <v>95.02158</v>
      </c>
      <c r="AI67" s="123">
        <f t="shared" si="12"/>
        <v>0.11413660128795433</v>
      </c>
      <c r="AJ67" s="121">
        <v>44165</v>
      </c>
      <c r="AK67" s="122">
        <v>21.418030000000002</v>
      </c>
      <c r="AL67" s="123">
        <f t="shared" si="13"/>
        <v>0.16666675745207496</v>
      </c>
      <c r="AM67" s="121">
        <v>44165</v>
      </c>
      <c r="AN67" s="122">
        <v>56.084890000000001</v>
      </c>
      <c r="AO67" s="124">
        <f t="shared" si="14"/>
        <v>0.15021696967633696</v>
      </c>
      <c r="AP67" s="118"/>
      <c r="AQ67" s="9"/>
      <c r="AR67" s="118"/>
      <c r="AS67" s="138"/>
      <c r="AT67" s="9"/>
      <c r="AU67" s="118"/>
      <c r="AV67" s="138"/>
      <c r="AW67" s="9"/>
      <c r="AX67" s="118"/>
      <c r="AY67" s="138"/>
      <c r="AZ67" s="9"/>
      <c r="BA67" s="118"/>
      <c r="BB67" s="139"/>
      <c r="BC67" s="118"/>
      <c r="BD67" s="118"/>
      <c r="BE67" s="138"/>
      <c r="BF67" s="9"/>
      <c r="BG67" s="118"/>
      <c r="BH67" s="138"/>
      <c r="BI67" s="9"/>
      <c r="BJ67" s="118"/>
      <c r="BK67" s="138"/>
      <c r="BL67" s="9"/>
      <c r="BM67" s="118"/>
      <c r="BN67" s="139"/>
      <c r="BO67" s="118"/>
      <c r="BP67" s="138"/>
      <c r="BQ67" s="9"/>
      <c r="BR67" s="118"/>
      <c r="BS67" s="138"/>
      <c r="BT67" s="9"/>
      <c r="BU67" s="118"/>
      <c r="BV67" s="138"/>
      <c r="BW67" s="9"/>
      <c r="BX67" s="118"/>
      <c r="BY67" s="139"/>
      <c r="BZ67" s="118"/>
      <c r="CA67" s="9"/>
      <c r="CB67" s="118"/>
      <c r="CC67" s="139"/>
      <c r="CD67" s="9"/>
      <c r="CE67" s="9"/>
      <c r="CF67" s="132"/>
      <c r="CG67" s="133"/>
    </row>
    <row r="68" spans="1:85" ht="16" x14ac:dyDescent="0.2">
      <c r="A68" s="77"/>
      <c r="B68" s="112">
        <v>44196</v>
      </c>
      <c r="C68" s="113">
        <v>192.79220000000001</v>
      </c>
      <c r="D68" s="119">
        <f t="shared" si="2"/>
        <v>4.6763101628086647E-2</v>
      </c>
      <c r="E68" s="112">
        <v>44196</v>
      </c>
      <c r="F68" s="113">
        <v>205.04570000000001</v>
      </c>
      <c r="G68" s="119">
        <f t="shared" si="3"/>
        <v>4.0202210824823337E-2</v>
      </c>
      <c r="H68" s="112">
        <v>44196</v>
      </c>
      <c r="I68" s="113">
        <v>193.16640000000001</v>
      </c>
      <c r="J68" s="119">
        <f t="shared" si="4"/>
        <v>7.5133872440894908E-2</v>
      </c>
      <c r="K68" s="112">
        <v>44196</v>
      </c>
      <c r="L68" s="113">
        <v>65.63</v>
      </c>
      <c r="M68" s="119">
        <f t="shared" si="5"/>
        <v>5.001666299488803E-2</v>
      </c>
      <c r="N68" s="112">
        <v>44196</v>
      </c>
      <c r="O68" s="113">
        <v>85.495739999999998</v>
      </c>
      <c r="P68" s="119">
        <f t="shared" si="6"/>
        <v>2.9002093852796156E-2</v>
      </c>
      <c r="Q68" s="112">
        <v>44196</v>
      </c>
      <c r="R68" s="113">
        <v>89.601129999999998</v>
      </c>
      <c r="S68" s="119">
        <f t="shared" si="7"/>
        <v>3.4010436218805444E-2</v>
      </c>
      <c r="T68" s="112">
        <v>44196</v>
      </c>
      <c r="U68" s="113">
        <v>273.3777</v>
      </c>
      <c r="V68" s="119">
        <f t="shared" si="8"/>
        <v>5.2393775202825683E-2</v>
      </c>
      <c r="W68" s="112">
        <v>44196</v>
      </c>
      <c r="X68" s="113">
        <v>221.66569999999999</v>
      </c>
      <c r="Y68" s="120">
        <f t="shared" si="9"/>
        <v>4.1577446946277387E-2</v>
      </c>
      <c r="Z68" s="77"/>
      <c r="AA68" s="121">
        <v>44196</v>
      </c>
      <c r="AB68" s="122">
        <v>35.703470000000003</v>
      </c>
      <c r="AC68" s="123">
        <f t="shared" si="10"/>
        <v>5.5173408431523442E-2</v>
      </c>
      <c r="AD68" s="121">
        <v>44196</v>
      </c>
      <c r="AE68" s="122">
        <v>49.326650000000001</v>
      </c>
      <c r="AF68" s="123">
        <f t="shared" si="11"/>
        <v>5.9993746622155272E-2</v>
      </c>
      <c r="AG68" s="121">
        <v>44196</v>
      </c>
      <c r="AH68" s="122">
        <v>100.0848</v>
      </c>
      <c r="AI68" s="123">
        <f t="shared" si="12"/>
        <v>5.3284948534848622E-2</v>
      </c>
      <c r="AJ68" s="121">
        <v>44196</v>
      </c>
      <c r="AK68" s="122">
        <v>22.516159999999999</v>
      </c>
      <c r="AL68" s="123">
        <f t="shared" si="13"/>
        <v>5.1271288722632175E-2</v>
      </c>
      <c r="AM68" s="121">
        <v>44196</v>
      </c>
      <c r="AN68" s="122">
        <v>59.067349999999998</v>
      </c>
      <c r="AO68" s="124">
        <f t="shared" si="14"/>
        <v>5.3177602737564361E-2</v>
      </c>
      <c r="AP68" s="118"/>
      <c r="AQ68" s="9"/>
      <c r="AR68" s="118"/>
      <c r="AS68" s="138"/>
      <c r="AT68" s="9"/>
      <c r="AU68" s="118"/>
      <c r="AV68" s="138"/>
      <c r="AW68" s="9"/>
      <c r="AX68" s="118"/>
      <c r="AY68" s="138"/>
      <c r="AZ68" s="9"/>
      <c r="BA68" s="118"/>
      <c r="BB68" s="139"/>
      <c r="BC68" s="118"/>
      <c r="BD68" s="118"/>
      <c r="BE68" s="138"/>
      <c r="BF68" s="9"/>
      <c r="BG68" s="118"/>
      <c r="BH68" s="138"/>
      <c r="BI68" s="9"/>
      <c r="BJ68" s="118"/>
      <c r="BK68" s="138"/>
      <c r="BL68" s="9"/>
      <c r="BM68" s="118"/>
      <c r="BN68" s="139"/>
      <c r="BO68" s="118"/>
      <c r="BP68" s="138"/>
      <c r="BQ68" s="9"/>
      <c r="BR68" s="118"/>
      <c r="BS68" s="138"/>
      <c r="BT68" s="9"/>
      <c r="BU68" s="118"/>
      <c r="BV68" s="138"/>
      <c r="BW68" s="9"/>
      <c r="BX68" s="118"/>
      <c r="BY68" s="139"/>
      <c r="BZ68" s="118"/>
      <c r="CA68" s="9"/>
      <c r="CB68" s="118"/>
      <c r="CC68" s="139"/>
      <c r="CD68" s="9"/>
      <c r="CE68" s="9"/>
      <c r="CF68" s="132"/>
      <c r="CG68" s="133"/>
    </row>
    <row r="69" spans="1:85" ht="16" x14ac:dyDescent="0.2">
      <c r="A69" s="77"/>
      <c r="B69" s="112">
        <v>44225</v>
      </c>
      <c r="C69" s="113">
        <v>192.14840000000001</v>
      </c>
      <c r="D69" s="119">
        <f t="shared" si="2"/>
        <v>-3.3393467163090559E-3</v>
      </c>
      <c r="E69" s="112">
        <v>44225</v>
      </c>
      <c r="F69" s="113">
        <v>204.07380000000001</v>
      </c>
      <c r="G69" s="119">
        <f t="shared" si="3"/>
        <v>-4.7399189546525724E-3</v>
      </c>
      <c r="H69" s="112">
        <v>44225</v>
      </c>
      <c r="I69" s="113">
        <v>197.04599999999999</v>
      </c>
      <c r="J69" s="119">
        <f t="shared" si="4"/>
        <v>2.008423825261527E-2</v>
      </c>
      <c r="K69" s="112">
        <v>44225</v>
      </c>
      <c r="L69" s="113">
        <v>65.78</v>
      </c>
      <c r="M69" s="119">
        <f t="shared" si="5"/>
        <v>2.285540149322043E-3</v>
      </c>
      <c r="N69" s="112">
        <v>44225</v>
      </c>
      <c r="O69" s="113">
        <v>88.319029999999998</v>
      </c>
      <c r="P69" s="119">
        <f t="shared" si="6"/>
        <v>3.3022581008129763E-2</v>
      </c>
      <c r="Q69" s="112">
        <v>44225</v>
      </c>
      <c r="R69" s="113">
        <v>89.091970000000003</v>
      </c>
      <c r="S69" s="119">
        <f t="shared" si="7"/>
        <v>-5.6825176200344159E-3</v>
      </c>
      <c r="T69" s="112">
        <v>44225</v>
      </c>
      <c r="U69" s="113">
        <v>281.43459999999999</v>
      </c>
      <c r="V69" s="119">
        <f t="shared" si="8"/>
        <v>2.9471679657850601E-2</v>
      </c>
      <c r="W69" s="112">
        <v>44225</v>
      </c>
      <c r="X69" s="113">
        <v>226.91679999999999</v>
      </c>
      <c r="Y69" s="120">
        <f t="shared" si="9"/>
        <v>2.368927623894905E-2</v>
      </c>
      <c r="Z69" s="77"/>
      <c r="AA69" s="121">
        <v>44225</v>
      </c>
      <c r="AB69" s="122">
        <v>35.435769999999998</v>
      </c>
      <c r="AC69" s="123">
        <f t="shared" si="10"/>
        <v>-7.497870655149343E-3</v>
      </c>
      <c r="AD69" s="121">
        <v>44225</v>
      </c>
      <c r="AE69" s="122">
        <v>50.872109999999999</v>
      </c>
      <c r="AF69" s="123">
        <f t="shared" si="11"/>
        <v>3.1331136414088502E-2</v>
      </c>
      <c r="AG69" s="121">
        <v>44225</v>
      </c>
      <c r="AH69" s="122">
        <v>98.676410000000004</v>
      </c>
      <c r="AI69" s="123">
        <f t="shared" si="12"/>
        <v>-1.4071966972007709E-2</v>
      </c>
      <c r="AJ69" s="121">
        <v>44225</v>
      </c>
      <c r="AK69" s="122">
        <v>22.496379999999998</v>
      </c>
      <c r="AL69" s="123">
        <f t="shared" si="13"/>
        <v>-8.7848016713332991E-4</v>
      </c>
      <c r="AM69" s="121">
        <v>44225</v>
      </c>
      <c r="AN69" s="122">
        <v>59.358899999999998</v>
      </c>
      <c r="AO69" s="124">
        <f t="shared" si="14"/>
        <v>4.9358909786879025E-3</v>
      </c>
      <c r="AP69" s="118"/>
      <c r="AQ69" s="9"/>
      <c r="AR69" s="118"/>
      <c r="AS69" s="138"/>
      <c r="AT69" s="9"/>
      <c r="AU69" s="118"/>
      <c r="AV69" s="138"/>
      <c r="AW69" s="9"/>
      <c r="AX69" s="118"/>
      <c r="AY69" s="138"/>
      <c r="AZ69" s="9"/>
      <c r="BA69" s="118"/>
      <c r="BB69" s="139"/>
      <c r="BC69" s="118"/>
      <c r="BD69" s="118"/>
      <c r="BE69" s="138"/>
      <c r="BF69" s="9"/>
      <c r="BG69" s="118"/>
      <c r="BH69" s="138"/>
      <c r="BI69" s="9"/>
      <c r="BJ69" s="118"/>
      <c r="BK69" s="138"/>
      <c r="BL69" s="9"/>
      <c r="BM69" s="118"/>
      <c r="BN69" s="139"/>
      <c r="BO69" s="118"/>
      <c r="BP69" s="138"/>
      <c r="BQ69" s="9"/>
      <c r="BR69" s="118"/>
      <c r="BS69" s="138"/>
      <c r="BT69" s="9"/>
      <c r="BU69" s="118"/>
      <c r="BV69" s="138"/>
      <c r="BW69" s="9"/>
      <c r="BX69" s="118"/>
      <c r="BY69" s="139"/>
      <c r="BZ69" s="118"/>
      <c r="CA69" s="9"/>
      <c r="CB69" s="118"/>
      <c r="CC69" s="139"/>
      <c r="CD69" s="9"/>
      <c r="CE69" s="9"/>
      <c r="CF69" s="134"/>
      <c r="CG69" s="133"/>
    </row>
    <row r="70" spans="1:85" ht="16" x14ac:dyDescent="0.2">
      <c r="A70" s="77"/>
      <c r="B70" s="112">
        <v>44253</v>
      </c>
      <c r="C70" s="113">
        <v>198.1806</v>
      </c>
      <c r="D70" s="119">
        <f t="shared" si="2"/>
        <v>3.1393443817382752E-2</v>
      </c>
      <c r="E70" s="112">
        <v>44253</v>
      </c>
      <c r="F70" s="113">
        <v>214.97219999999999</v>
      </c>
      <c r="G70" s="119">
        <f t="shared" si="3"/>
        <v>5.340420965356641E-2</v>
      </c>
      <c r="H70" s="112">
        <v>44253</v>
      </c>
      <c r="I70" s="113">
        <v>209.20079999999999</v>
      </c>
      <c r="J70" s="119">
        <f t="shared" si="4"/>
        <v>6.1685088760999943E-2</v>
      </c>
      <c r="K70" s="112">
        <v>44253</v>
      </c>
      <c r="L70" s="113">
        <v>66.75</v>
      </c>
      <c r="M70" s="119">
        <f t="shared" si="5"/>
        <v>1.4746123441775599E-2</v>
      </c>
      <c r="N70" s="112">
        <v>44253</v>
      </c>
      <c r="O70" s="113">
        <v>94.418149999999997</v>
      </c>
      <c r="P70" s="119">
        <f t="shared" si="6"/>
        <v>6.9057823664956455E-2</v>
      </c>
      <c r="Q70" s="112">
        <v>44253</v>
      </c>
      <c r="R70" s="113">
        <v>93.165189999999996</v>
      </c>
      <c r="S70" s="119">
        <f t="shared" si="7"/>
        <v>4.571927189397644E-2</v>
      </c>
      <c r="T70" s="112">
        <v>44253</v>
      </c>
      <c r="U70" s="113">
        <v>281.66309999999999</v>
      </c>
      <c r="V70" s="119">
        <f t="shared" si="8"/>
        <v>8.1191154179335737E-4</v>
      </c>
      <c r="W70" s="112">
        <v>44253</v>
      </c>
      <c r="X70" s="113">
        <v>222.54750000000001</v>
      </c>
      <c r="Y70" s="120">
        <f t="shared" si="9"/>
        <v>-1.9255074987836868E-2</v>
      </c>
      <c r="Z70" s="77"/>
      <c r="AA70" s="121">
        <v>44253</v>
      </c>
      <c r="AB70" s="122">
        <v>36.308280000000003</v>
      </c>
      <c r="AC70" s="123">
        <f t="shared" si="10"/>
        <v>2.4622295494072952E-2</v>
      </c>
      <c r="AD70" s="121">
        <v>44253</v>
      </c>
      <c r="AE70" s="122">
        <v>51.669449999999998</v>
      </c>
      <c r="AF70" s="123">
        <f t="shared" si="11"/>
        <v>1.5673421055269744E-2</v>
      </c>
      <c r="AG70" s="121">
        <v>44253</v>
      </c>
      <c r="AH70" s="122">
        <v>98.616900000000001</v>
      </c>
      <c r="AI70" s="123">
        <f t="shared" si="12"/>
        <v>-6.0308233751109363E-4</v>
      </c>
      <c r="AJ70" s="121">
        <v>44253</v>
      </c>
      <c r="AK70" s="122">
        <v>23.821439999999999</v>
      </c>
      <c r="AL70" s="123">
        <f t="shared" si="13"/>
        <v>5.8901032077160888E-2</v>
      </c>
      <c r="AM70" s="121">
        <v>44253</v>
      </c>
      <c r="AN70" s="122">
        <v>61.555210000000002</v>
      </c>
      <c r="AO70" s="124">
        <f t="shared" si="14"/>
        <v>3.7000517192872576E-2</v>
      </c>
      <c r="AP70" s="118"/>
      <c r="AQ70" s="9"/>
      <c r="AR70" s="118"/>
      <c r="AS70" s="138"/>
      <c r="AT70" s="9"/>
      <c r="AU70" s="118"/>
      <c r="AV70" s="138"/>
      <c r="AW70" s="9"/>
      <c r="AX70" s="118"/>
      <c r="AY70" s="138"/>
      <c r="AZ70" s="9"/>
      <c r="BA70" s="118"/>
      <c r="BB70" s="139"/>
      <c r="BC70" s="118"/>
      <c r="BD70" s="118"/>
      <c r="BE70" s="138"/>
      <c r="BF70" s="9"/>
      <c r="BG70" s="118"/>
      <c r="BH70" s="138"/>
      <c r="BI70" s="9"/>
      <c r="BJ70" s="118"/>
      <c r="BK70" s="138"/>
      <c r="BL70" s="9"/>
      <c r="BM70" s="118"/>
      <c r="BN70" s="139"/>
      <c r="BO70" s="118"/>
      <c r="BP70" s="138"/>
      <c r="BQ70" s="9"/>
      <c r="BR70" s="118"/>
      <c r="BS70" s="138"/>
      <c r="BT70" s="9"/>
      <c r="BU70" s="118"/>
      <c r="BV70" s="138"/>
      <c r="BW70" s="9"/>
      <c r="BX70" s="118"/>
      <c r="BY70" s="139"/>
      <c r="BZ70" s="118"/>
      <c r="CA70" s="9"/>
      <c r="CB70" s="118"/>
      <c r="CC70" s="139"/>
      <c r="CD70" s="9"/>
      <c r="CE70" s="9"/>
      <c r="CF70" s="132"/>
      <c r="CG70" s="133"/>
    </row>
    <row r="71" spans="1:85" ht="16" x14ac:dyDescent="0.2">
      <c r="A71" s="77"/>
      <c r="B71" s="112">
        <v>44286</v>
      </c>
      <c r="C71" s="113">
        <v>205.41</v>
      </c>
      <c r="D71" s="119">
        <f t="shared" si="2"/>
        <v>3.6478848080992783E-2</v>
      </c>
      <c r="E71" s="112">
        <v>44286</v>
      </c>
      <c r="F71" s="113">
        <v>220.13380000000001</v>
      </c>
      <c r="G71" s="119">
        <f t="shared" si="3"/>
        <v>2.4010546479963556E-2</v>
      </c>
      <c r="H71" s="112">
        <v>44286</v>
      </c>
      <c r="I71" s="113">
        <v>212.99529999999999</v>
      </c>
      <c r="J71" s="119">
        <f t="shared" si="4"/>
        <v>1.8138075953820443E-2</v>
      </c>
      <c r="K71" s="112">
        <v>44286</v>
      </c>
      <c r="L71" s="113">
        <v>64.760000000000005</v>
      </c>
      <c r="M71" s="119">
        <f t="shared" si="5"/>
        <v>-2.9812734082396927E-2</v>
      </c>
      <c r="N71" s="112">
        <v>44286</v>
      </c>
      <c r="O71" s="113">
        <v>101.2629</v>
      </c>
      <c r="P71" s="119">
        <f t="shared" si="6"/>
        <v>7.2494006713751599E-2</v>
      </c>
      <c r="Q71" s="112">
        <v>44286</v>
      </c>
      <c r="R71" s="113">
        <v>99.632779999999997</v>
      </c>
      <c r="S71" s="119">
        <f t="shared" si="7"/>
        <v>6.9420670960902903E-2</v>
      </c>
      <c r="T71" s="112">
        <v>44286</v>
      </c>
      <c r="U71" s="113">
        <v>293.55700000000002</v>
      </c>
      <c r="V71" s="119">
        <f t="shared" si="8"/>
        <v>4.2227398619130552E-2</v>
      </c>
      <c r="W71" s="112">
        <v>44286</v>
      </c>
      <c r="X71" s="113">
        <v>227.27979999999999</v>
      </c>
      <c r="Y71" s="120">
        <f t="shared" si="9"/>
        <v>2.1264224491400623E-2</v>
      </c>
      <c r="Z71" s="77"/>
      <c r="AA71" s="121">
        <v>44286</v>
      </c>
      <c r="AB71" s="122">
        <v>37.299770000000002</v>
      </c>
      <c r="AC71" s="123">
        <f t="shared" si="10"/>
        <v>2.7307545276173885E-2</v>
      </c>
      <c r="AD71" s="121">
        <v>44286</v>
      </c>
      <c r="AE71" s="122">
        <v>51.302379999999999</v>
      </c>
      <c r="AF71" s="123">
        <f t="shared" si="11"/>
        <v>-7.1041979351434597E-3</v>
      </c>
      <c r="AG71" s="121">
        <v>44286</v>
      </c>
      <c r="AH71" s="122">
        <v>99.638469999999998</v>
      </c>
      <c r="AI71" s="123">
        <f t="shared" si="12"/>
        <v>1.03589749829897E-2</v>
      </c>
      <c r="AJ71" s="121">
        <v>44286</v>
      </c>
      <c r="AK71" s="122">
        <v>25.00807</v>
      </c>
      <c r="AL71" s="123">
        <f t="shared" si="13"/>
        <v>4.9813529324843543E-2</v>
      </c>
      <c r="AM71" s="121">
        <v>44286</v>
      </c>
      <c r="AN71" s="122">
        <v>63.954410000000003</v>
      </c>
      <c r="AO71" s="124">
        <f t="shared" si="14"/>
        <v>3.8976392087688438E-2</v>
      </c>
      <c r="AP71" s="118"/>
      <c r="AQ71" s="9"/>
      <c r="AR71" s="118"/>
      <c r="AS71" s="138"/>
      <c r="AT71" s="9"/>
      <c r="AU71" s="118"/>
      <c r="AV71" s="138"/>
      <c r="AW71" s="9"/>
      <c r="AX71" s="118"/>
      <c r="AY71" s="138"/>
      <c r="AZ71" s="9"/>
      <c r="BA71" s="118"/>
      <c r="BB71" s="139"/>
      <c r="BC71" s="118"/>
      <c r="BD71" s="118"/>
      <c r="BE71" s="138"/>
      <c r="BF71" s="9"/>
      <c r="BG71" s="118"/>
      <c r="BH71" s="138"/>
      <c r="BI71" s="9"/>
      <c r="BJ71" s="118"/>
      <c r="BK71" s="138"/>
      <c r="BL71" s="9"/>
      <c r="BM71" s="118"/>
      <c r="BN71" s="139"/>
      <c r="BO71" s="118"/>
      <c r="BP71" s="138"/>
      <c r="BQ71" s="9"/>
      <c r="BR71" s="118"/>
      <c r="BS71" s="138"/>
      <c r="BT71" s="9"/>
      <c r="BU71" s="118"/>
      <c r="BV71" s="138"/>
      <c r="BW71" s="9"/>
      <c r="BX71" s="118"/>
      <c r="BY71" s="139"/>
      <c r="BZ71" s="118"/>
      <c r="CA71" s="9"/>
      <c r="CB71" s="118"/>
      <c r="CC71" s="139"/>
      <c r="CD71" s="9"/>
      <c r="CE71" s="9"/>
      <c r="CF71" s="132"/>
      <c r="CG71" s="133"/>
    </row>
    <row r="72" spans="1:85" ht="16" x14ac:dyDescent="0.2">
      <c r="A72" s="77"/>
      <c r="B72" s="112">
        <v>44316</v>
      </c>
      <c r="C72" s="113">
        <v>215.75559999999999</v>
      </c>
      <c r="D72" s="119">
        <f t="shared" si="2"/>
        <v>5.0365610242928731E-2</v>
      </c>
      <c r="E72" s="112">
        <v>44316</v>
      </c>
      <c r="F72" s="113">
        <v>230.7655</v>
      </c>
      <c r="G72" s="119">
        <f t="shared" si="3"/>
        <v>4.829653601582308E-2</v>
      </c>
      <c r="H72" s="112">
        <v>44316</v>
      </c>
      <c r="I72" s="113">
        <v>221.36269999999999</v>
      </c>
      <c r="J72" s="119">
        <f t="shared" si="4"/>
        <v>3.9284434914761052E-2</v>
      </c>
      <c r="K72" s="112">
        <v>44316</v>
      </c>
      <c r="L72" s="113">
        <v>69.27</v>
      </c>
      <c r="M72" s="119">
        <f t="shared" si="5"/>
        <v>6.9641754169240122E-2</v>
      </c>
      <c r="N72" s="112">
        <v>44316</v>
      </c>
      <c r="O72" s="113">
        <v>103.0617</v>
      </c>
      <c r="P72" s="119">
        <f t="shared" si="6"/>
        <v>1.7763662703714784E-2</v>
      </c>
      <c r="Q72" s="112">
        <v>44316</v>
      </c>
      <c r="R72" s="113">
        <v>102.1756</v>
      </c>
      <c r="S72" s="119">
        <f t="shared" si="7"/>
        <v>2.5521921600501422E-2</v>
      </c>
      <c r="T72" s="112">
        <v>44316</v>
      </c>
      <c r="U72" s="113">
        <v>312.10180000000003</v>
      </c>
      <c r="V72" s="119">
        <f t="shared" si="8"/>
        <v>6.3172739876753092E-2</v>
      </c>
      <c r="W72" s="112">
        <v>44316</v>
      </c>
      <c r="X72" s="113">
        <v>236.69890000000001</v>
      </c>
      <c r="Y72" s="120">
        <f t="shared" si="9"/>
        <v>4.1442750301610681E-2</v>
      </c>
      <c r="Z72" s="77"/>
      <c r="AA72" s="121">
        <v>44316</v>
      </c>
      <c r="AB72" s="122">
        <v>38.410240000000002</v>
      </c>
      <c r="AC72" s="123">
        <f t="shared" si="10"/>
        <v>2.9771497250519221E-2</v>
      </c>
      <c r="AD72" s="121">
        <v>44316</v>
      </c>
      <c r="AE72" s="122">
        <v>52.21902</v>
      </c>
      <c r="AF72" s="123">
        <f t="shared" si="11"/>
        <v>1.7867397185081881E-2</v>
      </c>
      <c r="AG72" s="121">
        <v>44316</v>
      </c>
      <c r="AH72" s="122">
        <v>103.70489999999999</v>
      </c>
      <c r="AI72" s="123">
        <f t="shared" si="12"/>
        <v>4.0811847070714724E-2</v>
      </c>
      <c r="AJ72" s="121">
        <v>44316</v>
      </c>
      <c r="AK72" s="122">
        <v>25.205839999999998</v>
      </c>
      <c r="AL72" s="123">
        <f t="shared" si="13"/>
        <v>7.9082472177980333E-3</v>
      </c>
      <c r="AM72" s="121">
        <v>44316</v>
      </c>
      <c r="AN72" s="122">
        <v>65.410359999999997</v>
      </c>
      <c r="AO72" s="124">
        <f t="shared" si="14"/>
        <v>2.2765435565741194E-2</v>
      </c>
      <c r="AP72" s="118"/>
      <c r="AQ72" s="9"/>
      <c r="AR72" s="118"/>
      <c r="AS72" s="138"/>
      <c r="AT72" s="9"/>
      <c r="AU72" s="118"/>
      <c r="AV72" s="138"/>
      <c r="AW72" s="9"/>
      <c r="AX72" s="118"/>
      <c r="AY72" s="138"/>
      <c r="AZ72" s="9"/>
      <c r="BA72" s="118"/>
      <c r="BB72" s="139"/>
      <c r="BC72" s="118"/>
      <c r="BD72" s="118"/>
      <c r="BE72" s="138"/>
      <c r="BF72" s="9"/>
      <c r="BG72" s="118"/>
      <c r="BH72" s="138"/>
      <c r="BI72" s="9"/>
      <c r="BJ72" s="118"/>
      <c r="BK72" s="138"/>
      <c r="BL72" s="9"/>
      <c r="BM72" s="118"/>
      <c r="BN72" s="139"/>
      <c r="BO72" s="118"/>
      <c r="BP72" s="138"/>
      <c r="BQ72" s="9"/>
      <c r="BR72" s="118"/>
      <c r="BS72" s="138"/>
      <c r="BT72" s="9"/>
      <c r="BU72" s="118"/>
      <c r="BV72" s="138"/>
      <c r="BW72" s="9"/>
      <c r="BX72" s="118"/>
      <c r="BY72" s="139"/>
      <c r="BZ72" s="118"/>
      <c r="CA72" s="9"/>
      <c r="CB72" s="118"/>
      <c r="CC72" s="139"/>
      <c r="CD72" s="9"/>
      <c r="CE72" s="9"/>
      <c r="CF72" s="132"/>
      <c r="CG72" s="133"/>
    </row>
    <row r="73" spans="1:85" ht="16" x14ac:dyDescent="0.2">
      <c r="A73" s="77"/>
      <c r="B73" s="112">
        <v>44344</v>
      </c>
      <c r="C73" s="113">
        <v>216.73939999999999</v>
      </c>
      <c r="D73" s="119">
        <f t="shared" si="2"/>
        <v>4.559788946381935E-3</v>
      </c>
      <c r="E73" s="112">
        <v>44344</v>
      </c>
      <c r="F73" s="113">
        <v>232.62530000000001</v>
      </c>
      <c r="G73" s="119">
        <f t="shared" si="3"/>
        <v>8.0592636247619632E-3</v>
      </c>
      <c r="H73" s="112">
        <v>44344</v>
      </c>
      <c r="I73" s="113">
        <v>221.4522</v>
      </c>
      <c r="J73" s="119">
        <f t="shared" si="4"/>
        <v>4.0431382522898048E-4</v>
      </c>
      <c r="K73" s="112">
        <v>44344</v>
      </c>
      <c r="L73" s="113">
        <v>67.39</v>
      </c>
      <c r="M73" s="119">
        <f t="shared" si="5"/>
        <v>-2.7140176122419455E-2</v>
      </c>
      <c r="N73" s="112">
        <v>44344</v>
      </c>
      <c r="O73" s="113">
        <v>105.997</v>
      </c>
      <c r="P73" s="119">
        <f t="shared" si="6"/>
        <v>2.8480997305497562E-2</v>
      </c>
      <c r="Q73" s="112">
        <v>44344</v>
      </c>
      <c r="R73" s="113">
        <v>105.27030000000001</v>
      </c>
      <c r="S73" s="119">
        <f t="shared" si="7"/>
        <v>3.0288053116399639E-2</v>
      </c>
      <c r="T73" s="112">
        <v>44344</v>
      </c>
      <c r="U73" s="113">
        <v>303.17720000000003</v>
      </c>
      <c r="V73" s="119">
        <f t="shared" si="8"/>
        <v>-2.8595157092974142E-2</v>
      </c>
      <c r="W73" s="112">
        <v>44344</v>
      </c>
      <c r="X73" s="113">
        <v>238.43770000000001</v>
      </c>
      <c r="Y73" s="120">
        <f t="shared" si="9"/>
        <v>7.3460417433287503E-3</v>
      </c>
      <c r="Z73" s="77"/>
      <c r="AA73" s="121">
        <v>44344</v>
      </c>
      <c r="AB73" s="122">
        <v>39.788400000000003</v>
      </c>
      <c r="AC73" s="123">
        <f t="shared" si="10"/>
        <v>3.5880015329245563E-2</v>
      </c>
      <c r="AD73" s="121">
        <v>44344</v>
      </c>
      <c r="AE73" s="122">
        <v>53.106090000000002</v>
      </c>
      <c r="AF73" s="123">
        <f t="shared" si="11"/>
        <v>1.6987488466846015E-2</v>
      </c>
      <c r="AG73" s="121">
        <v>44344</v>
      </c>
      <c r="AH73" s="122">
        <v>107.1267</v>
      </c>
      <c r="AI73" s="123">
        <f t="shared" si="12"/>
        <v>3.2995547944214831E-2</v>
      </c>
      <c r="AJ73" s="121">
        <v>44344</v>
      </c>
      <c r="AK73" s="122">
        <v>26.39246</v>
      </c>
      <c r="AL73" s="123">
        <f t="shared" si="13"/>
        <v>4.7077185287219207E-2</v>
      </c>
      <c r="AM73" s="121">
        <v>44344</v>
      </c>
      <c r="AN73" s="122">
        <v>68.263639999999995</v>
      </c>
      <c r="AO73" s="124">
        <f t="shared" si="14"/>
        <v>4.3621224527735335E-2</v>
      </c>
      <c r="AP73" s="118"/>
      <c r="AQ73" s="9"/>
      <c r="AR73" s="118"/>
      <c r="AS73" s="138"/>
      <c r="AT73" s="9"/>
      <c r="AU73" s="118"/>
      <c r="AV73" s="138"/>
      <c r="AW73" s="9"/>
      <c r="AX73" s="118"/>
      <c r="AY73" s="138"/>
      <c r="AZ73" s="9"/>
      <c r="BA73" s="118"/>
      <c r="BB73" s="139"/>
      <c r="BC73" s="118"/>
      <c r="BD73" s="118"/>
      <c r="BE73" s="138"/>
      <c r="BF73" s="9"/>
      <c r="BG73" s="118"/>
      <c r="BH73" s="138"/>
      <c r="BI73" s="9"/>
      <c r="BJ73" s="118"/>
      <c r="BK73" s="138"/>
      <c r="BL73" s="9"/>
      <c r="BM73" s="118"/>
      <c r="BN73" s="139"/>
      <c r="BO73" s="118"/>
      <c r="BP73" s="138"/>
      <c r="BQ73" s="9"/>
      <c r="BR73" s="118"/>
      <c r="BS73" s="138"/>
      <c r="BT73" s="9"/>
      <c r="BU73" s="118"/>
      <c r="BV73" s="138"/>
      <c r="BW73" s="9"/>
      <c r="BX73" s="118"/>
      <c r="BY73" s="139"/>
      <c r="BZ73" s="118"/>
      <c r="CA73" s="9"/>
      <c r="CB73" s="118"/>
      <c r="CC73" s="139"/>
      <c r="CD73" s="9"/>
      <c r="CE73" s="9"/>
      <c r="CF73" s="132"/>
      <c r="CG73" s="133"/>
    </row>
    <row r="74" spans="1:85" ht="16" x14ac:dyDescent="0.2">
      <c r="A74" s="77"/>
      <c r="B74" s="112">
        <v>44377</v>
      </c>
      <c r="C74" s="113">
        <v>222.1189</v>
      </c>
      <c r="D74" s="119">
        <f t="shared" si="2"/>
        <v>2.4820129611874939E-2</v>
      </c>
      <c r="E74" s="112">
        <v>44377</v>
      </c>
      <c r="F74" s="113">
        <v>236.75149999999999</v>
      </c>
      <c r="G74" s="119">
        <f t="shared" si="3"/>
        <v>1.7737537576523202E-2</v>
      </c>
      <c r="H74" s="112">
        <v>44377</v>
      </c>
      <c r="I74" s="113">
        <v>224.69489999999999</v>
      </c>
      <c r="J74" s="119">
        <f t="shared" si="4"/>
        <v>1.4642889074933484E-2</v>
      </c>
      <c r="K74" s="112">
        <v>44377</v>
      </c>
      <c r="L74" s="113">
        <v>73.08</v>
      </c>
      <c r="M74" s="119">
        <f t="shared" si="5"/>
        <v>8.4433892268882593E-2</v>
      </c>
      <c r="N74" s="112">
        <v>44377</v>
      </c>
      <c r="O74" s="113">
        <v>104.3061</v>
      </c>
      <c r="P74" s="119">
        <f t="shared" si="6"/>
        <v>-1.595233827372472E-2</v>
      </c>
      <c r="Q74" s="112">
        <v>44377</v>
      </c>
      <c r="R74" s="113">
        <v>104.02160000000001</v>
      </c>
      <c r="S74" s="119">
        <f t="shared" si="7"/>
        <v>-1.1861845173804952E-2</v>
      </c>
      <c r="T74" s="112">
        <v>44377</v>
      </c>
      <c r="U74" s="113">
        <v>312.47239999999999</v>
      </c>
      <c r="V74" s="119">
        <f t="shared" si="8"/>
        <v>3.0659297598895845E-2</v>
      </c>
      <c r="W74" s="112">
        <v>44377</v>
      </c>
      <c r="X74" s="113">
        <v>246.24449999999999</v>
      </c>
      <c r="Y74" s="120">
        <f t="shared" si="9"/>
        <v>3.2741466638874561E-2</v>
      </c>
      <c r="Z74" s="77"/>
      <c r="AA74" s="121">
        <v>44377</v>
      </c>
      <c r="AB74" s="122">
        <v>39.450000000000003</v>
      </c>
      <c r="AC74" s="123">
        <f t="shared" si="10"/>
        <v>-8.5049914045299633E-3</v>
      </c>
      <c r="AD74" s="121">
        <v>44377</v>
      </c>
      <c r="AE74" s="122">
        <v>53.81071</v>
      </c>
      <c r="AF74" s="123">
        <f t="shared" si="11"/>
        <v>1.326815813402942E-2</v>
      </c>
      <c r="AG74" s="121">
        <v>44377</v>
      </c>
      <c r="AH74" s="122">
        <v>107.28</v>
      </c>
      <c r="AI74" s="123">
        <f t="shared" si="12"/>
        <v>1.4310157971822296E-3</v>
      </c>
      <c r="AJ74" s="121">
        <v>44377</v>
      </c>
      <c r="AK74" s="122">
        <v>25.82</v>
      </c>
      <c r="AL74" s="123">
        <f t="shared" si="13"/>
        <v>-2.1690285786167697E-2</v>
      </c>
      <c r="AM74" s="121">
        <v>44377</v>
      </c>
      <c r="AN74" s="122">
        <v>67.243070000000003</v>
      </c>
      <c r="AO74" s="124">
        <f t="shared" si="14"/>
        <v>-1.4950418700203978E-2</v>
      </c>
      <c r="AP74" s="118"/>
      <c r="AQ74" s="9"/>
      <c r="AR74" s="118"/>
      <c r="AS74" s="138"/>
      <c r="AT74" s="9"/>
      <c r="AU74" s="118"/>
      <c r="AV74" s="138"/>
      <c r="AW74" s="9"/>
      <c r="AX74" s="118"/>
      <c r="AY74" s="138"/>
      <c r="AZ74" s="9"/>
      <c r="BA74" s="118"/>
      <c r="BB74" s="139"/>
      <c r="BC74" s="118"/>
      <c r="BD74" s="118"/>
      <c r="BE74" s="138"/>
      <c r="BF74" s="9"/>
      <c r="BG74" s="118"/>
      <c r="BH74" s="138"/>
      <c r="BI74" s="9"/>
      <c r="BJ74" s="118"/>
      <c r="BK74" s="138"/>
      <c r="BL74" s="9"/>
      <c r="BM74" s="118"/>
      <c r="BN74" s="139"/>
      <c r="BO74" s="118"/>
      <c r="BP74" s="138"/>
      <c r="BQ74" s="9"/>
      <c r="BR74" s="118"/>
      <c r="BS74" s="138"/>
      <c r="BT74" s="9"/>
      <c r="BU74" s="118"/>
      <c r="BV74" s="138"/>
      <c r="BW74" s="9"/>
      <c r="BX74" s="118"/>
      <c r="BY74" s="139"/>
      <c r="BZ74" s="118"/>
      <c r="CA74" s="9"/>
      <c r="CB74" s="118"/>
      <c r="CC74" s="139"/>
      <c r="CD74" s="9"/>
      <c r="CE74" s="9"/>
      <c r="CF74" s="140"/>
      <c r="CG74" s="133"/>
    </row>
    <row r="75" spans="1:85" ht="16" x14ac:dyDescent="0.2">
      <c r="A75" s="77"/>
      <c r="B75" s="112">
        <v>44407</v>
      </c>
      <c r="C75" s="113">
        <v>225.97669999999999</v>
      </c>
      <c r="D75" s="119">
        <f t="shared" si="2"/>
        <v>1.7368175333121124E-2</v>
      </c>
      <c r="E75" s="112">
        <v>44407</v>
      </c>
      <c r="F75" s="113">
        <v>239.86359999999999</v>
      </c>
      <c r="G75" s="119">
        <f t="shared" si="3"/>
        <v>1.3145006473031842E-2</v>
      </c>
      <c r="H75" s="112">
        <v>44407</v>
      </c>
      <c r="I75" s="113">
        <v>221.37350000000001</v>
      </c>
      <c r="J75" s="119">
        <f t="shared" si="4"/>
        <v>-1.4781821928312493E-2</v>
      </c>
      <c r="K75" s="112">
        <v>44407</v>
      </c>
      <c r="L75" s="113">
        <v>74.180000000000007</v>
      </c>
      <c r="M75" s="119">
        <f t="shared" si="5"/>
        <v>1.5051997810618617E-2</v>
      </c>
      <c r="N75" s="112">
        <v>44407</v>
      </c>
      <c r="O75" s="113">
        <v>103.5814</v>
      </c>
      <c r="P75" s="119">
        <f t="shared" si="6"/>
        <v>-6.9478199261596256E-3</v>
      </c>
      <c r="Q75" s="112">
        <v>44407</v>
      </c>
      <c r="R75" s="113">
        <v>104.5975</v>
      </c>
      <c r="S75" s="119">
        <f t="shared" si="7"/>
        <v>5.536350142662582E-3</v>
      </c>
      <c r="T75" s="112">
        <v>44407</v>
      </c>
      <c r="U75" s="113">
        <v>313.52719999999999</v>
      </c>
      <c r="V75" s="119">
        <f t="shared" si="8"/>
        <v>3.3756581381267602E-3</v>
      </c>
      <c r="W75" s="112">
        <v>44407</v>
      </c>
      <c r="X75" s="113">
        <v>255.50120000000001</v>
      </c>
      <c r="Y75" s="120">
        <f t="shared" si="9"/>
        <v>3.7591499505572813E-2</v>
      </c>
      <c r="Z75" s="77"/>
      <c r="AA75" s="121">
        <v>44407</v>
      </c>
      <c r="AB75" s="122">
        <v>39.58</v>
      </c>
      <c r="AC75" s="123">
        <f t="shared" si="10"/>
        <v>3.2953105196450051E-3</v>
      </c>
      <c r="AD75" s="121">
        <v>44407</v>
      </c>
      <c r="AE75" s="122">
        <v>50.640129999999999</v>
      </c>
      <c r="AF75" s="123">
        <f t="shared" si="11"/>
        <v>-5.8920984317062552E-2</v>
      </c>
      <c r="AG75" s="121">
        <v>44407</v>
      </c>
      <c r="AH75" s="122">
        <v>109.18</v>
      </c>
      <c r="AI75" s="123">
        <f t="shared" si="12"/>
        <v>1.7710663683818097E-2</v>
      </c>
      <c r="AJ75" s="121">
        <v>44407</v>
      </c>
      <c r="AK75" s="122">
        <v>25.68</v>
      </c>
      <c r="AL75" s="123">
        <f t="shared" si="13"/>
        <v>-5.4221533694810446E-3</v>
      </c>
      <c r="AM75" s="121">
        <v>44407</v>
      </c>
      <c r="AN75" s="122">
        <v>66.807829999999996</v>
      </c>
      <c r="AO75" s="124">
        <f t="shared" si="14"/>
        <v>-6.4726372546644196E-3</v>
      </c>
      <c r="AP75" s="118"/>
      <c r="AQ75" s="9"/>
      <c r="AR75" s="118"/>
      <c r="AS75" s="138"/>
      <c r="AT75" s="9"/>
      <c r="AU75" s="118"/>
      <c r="AV75" s="138"/>
      <c r="AW75" s="9"/>
      <c r="AX75" s="118"/>
      <c r="AY75" s="138"/>
      <c r="AZ75" s="9"/>
      <c r="BA75" s="118"/>
      <c r="BB75" s="139"/>
      <c r="BC75" s="118"/>
      <c r="BD75" s="118"/>
      <c r="BE75" s="138"/>
      <c r="BF75" s="9"/>
      <c r="BG75" s="118"/>
      <c r="BH75" s="138"/>
      <c r="BI75" s="9"/>
      <c r="BJ75" s="118"/>
      <c r="BK75" s="138"/>
      <c r="BL75" s="9"/>
      <c r="BM75" s="118"/>
      <c r="BN75" s="139"/>
      <c r="BO75" s="118"/>
      <c r="BP75" s="138"/>
      <c r="BQ75" s="9"/>
      <c r="BR75" s="118"/>
      <c r="BS75" s="138"/>
      <c r="BT75" s="9"/>
      <c r="BU75" s="118"/>
      <c r="BV75" s="138"/>
      <c r="BW75" s="9"/>
      <c r="BX75" s="118"/>
      <c r="BY75" s="139"/>
      <c r="BZ75" s="118"/>
      <c r="CA75" s="9"/>
      <c r="CB75" s="118"/>
      <c r="CC75" s="139"/>
      <c r="CD75" s="9"/>
      <c r="CE75" s="9"/>
      <c r="CF75" s="118"/>
      <c r="CG75" s="133"/>
    </row>
    <row r="76" spans="1:85" ht="16" x14ac:dyDescent="0.2">
      <c r="A76" s="77"/>
      <c r="B76" s="112">
        <v>44439</v>
      </c>
      <c r="C76" s="113">
        <v>232.43629999999999</v>
      </c>
      <c r="D76" s="119">
        <f t="shared" si="2"/>
        <v>2.8585247948129142E-2</v>
      </c>
      <c r="E76" s="112">
        <v>44439</v>
      </c>
      <c r="F76" s="113">
        <v>247.11529999999999</v>
      </c>
      <c r="G76" s="119">
        <f t="shared" si="3"/>
        <v>3.0232598860352299E-2</v>
      </c>
      <c r="H76" s="112">
        <v>44439</v>
      </c>
      <c r="I76" s="113">
        <v>225.72219999999999</v>
      </c>
      <c r="J76" s="119">
        <f t="shared" si="4"/>
        <v>1.964417601926147E-2</v>
      </c>
      <c r="K76" s="112">
        <v>44439</v>
      </c>
      <c r="L76" s="113">
        <v>76.41</v>
      </c>
      <c r="M76" s="119">
        <f t="shared" si="5"/>
        <v>3.0062011323806814E-2</v>
      </c>
      <c r="N76" s="112">
        <v>44439</v>
      </c>
      <c r="O76" s="113">
        <v>104.37560000000001</v>
      </c>
      <c r="P76" s="119">
        <f t="shared" si="6"/>
        <v>7.6673997455141904E-3</v>
      </c>
      <c r="Q76" s="112">
        <v>44439</v>
      </c>
      <c r="R76" s="113">
        <v>106.7818</v>
      </c>
      <c r="S76" s="119">
        <f t="shared" si="7"/>
        <v>2.0882908291307227E-2</v>
      </c>
      <c r="T76" s="112">
        <v>44439</v>
      </c>
      <c r="U76" s="113">
        <v>319.36840000000001</v>
      </c>
      <c r="V76" s="119">
        <f t="shared" si="8"/>
        <v>1.8630600471027759E-2</v>
      </c>
      <c r="W76" s="112">
        <v>44439</v>
      </c>
      <c r="X76" s="113">
        <v>261.54939999999999</v>
      </c>
      <c r="Y76" s="120">
        <f t="shared" si="9"/>
        <v>2.3671904476378115E-2</v>
      </c>
      <c r="Z76" s="77"/>
      <c r="AA76" s="121">
        <v>44439</v>
      </c>
      <c r="AB76" s="122">
        <v>40.049999999999997</v>
      </c>
      <c r="AC76" s="123">
        <f t="shared" si="10"/>
        <v>1.187468418393125E-2</v>
      </c>
      <c r="AD76" s="121">
        <v>44439</v>
      </c>
      <c r="AE76" s="122">
        <v>51.749830000000003</v>
      </c>
      <c r="AF76" s="123">
        <f t="shared" si="11"/>
        <v>2.1913450854095431E-2</v>
      </c>
      <c r="AG76" s="121">
        <v>44439</v>
      </c>
      <c r="AH76" s="122">
        <v>111.29</v>
      </c>
      <c r="AI76" s="123">
        <f t="shared" si="12"/>
        <v>1.9325883861513092E-2</v>
      </c>
      <c r="AJ76" s="121">
        <v>44439</v>
      </c>
      <c r="AK76" s="122">
        <v>25.94</v>
      </c>
      <c r="AL76" s="123">
        <f t="shared" si="13"/>
        <v>1.0124610591900373E-2</v>
      </c>
      <c r="AM76" s="121">
        <v>44439</v>
      </c>
      <c r="AN76" s="122">
        <v>67.609049999999996</v>
      </c>
      <c r="AO76" s="124">
        <f t="shared" si="14"/>
        <v>1.1992905621990728E-2</v>
      </c>
      <c r="AP76" s="118"/>
      <c r="AQ76" s="9"/>
      <c r="AR76" s="118"/>
      <c r="AS76" s="138"/>
      <c r="AT76" s="9"/>
      <c r="AU76" s="118"/>
      <c r="AV76" s="138"/>
      <c r="AW76" s="9"/>
      <c r="AX76" s="118"/>
      <c r="AY76" s="138"/>
      <c r="AZ76" s="9"/>
      <c r="BA76" s="118"/>
      <c r="BB76" s="139"/>
      <c r="BC76" s="118"/>
      <c r="BD76" s="118"/>
      <c r="BE76" s="138"/>
      <c r="BF76" s="9"/>
      <c r="BG76" s="118"/>
      <c r="BH76" s="138"/>
      <c r="BI76" s="9"/>
      <c r="BJ76" s="118"/>
      <c r="BK76" s="138"/>
      <c r="BL76" s="9"/>
      <c r="BM76" s="118"/>
      <c r="BN76" s="139"/>
      <c r="BO76" s="118"/>
      <c r="BP76" s="138"/>
      <c r="BQ76" s="9"/>
      <c r="BR76" s="118"/>
      <c r="BS76" s="138"/>
      <c r="BT76" s="9"/>
      <c r="BU76" s="118"/>
      <c r="BV76" s="138"/>
      <c r="BW76" s="9"/>
      <c r="BX76" s="118"/>
      <c r="BY76" s="139"/>
      <c r="BZ76" s="118"/>
      <c r="CA76" s="9"/>
      <c r="CB76" s="118"/>
      <c r="CC76" s="139"/>
      <c r="CD76" s="9"/>
      <c r="CE76" s="9"/>
      <c r="CF76" s="140"/>
      <c r="CG76" s="133"/>
    </row>
    <row r="77" spans="1:85" ht="16" x14ac:dyDescent="0.2">
      <c r="B77" s="112">
        <v>44469</v>
      </c>
      <c r="C77" s="113">
        <v>222.06</v>
      </c>
      <c r="D77" s="119">
        <f t="shared" si="2"/>
        <v>-4.4641478116800117E-2</v>
      </c>
      <c r="E77" s="112">
        <v>44469</v>
      </c>
      <c r="F77" s="113">
        <v>236.76</v>
      </c>
      <c r="G77" s="119">
        <f t="shared" si="3"/>
        <v>-4.1904730302008822E-2</v>
      </c>
      <c r="H77" s="112">
        <v>44469</v>
      </c>
      <c r="I77" s="113">
        <v>218.67</v>
      </c>
      <c r="J77" s="119">
        <f t="shared" si="4"/>
        <v>-3.1242828574238598E-2</v>
      </c>
      <c r="K77" s="112">
        <v>44469</v>
      </c>
      <c r="L77" s="113">
        <v>72.040000000000006</v>
      </c>
      <c r="M77" s="119">
        <f t="shared" si="5"/>
        <v>-5.7191467085459892E-2</v>
      </c>
      <c r="N77" s="112">
        <v>44469</v>
      </c>
      <c r="O77" s="113">
        <v>100.7</v>
      </c>
      <c r="P77" s="119">
        <f t="shared" si="6"/>
        <v>-3.5215126907054931E-2</v>
      </c>
      <c r="Q77" s="112">
        <v>44469</v>
      </c>
      <c r="R77" s="113">
        <v>103.35</v>
      </c>
      <c r="S77" s="119">
        <f t="shared" si="7"/>
        <v>-3.213843557610014E-2</v>
      </c>
      <c r="T77" s="112">
        <v>44469</v>
      </c>
      <c r="U77" s="113">
        <v>309.97000000000003</v>
      </c>
      <c r="V77" s="119">
        <f t="shared" si="8"/>
        <v>-2.9428083680163662E-2</v>
      </c>
      <c r="W77" s="112">
        <v>44469</v>
      </c>
      <c r="X77" s="113">
        <v>247.16</v>
      </c>
      <c r="Y77" s="120">
        <f t="shared" si="9"/>
        <v>-5.5015993154639217E-2</v>
      </c>
      <c r="Z77" s="77"/>
      <c r="AA77" s="121">
        <v>44469</v>
      </c>
      <c r="AB77" s="122">
        <v>38.700000000000003</v>
      </c>
      <c r="AC77" s="123">
        <f t="shared" si="10"/>
        <v>-3.3707865168539186E-2</v>
      </c>
      <c r="AD77" s="121">
        <v>44469</v>
      </c>
      <c r="AE77" s="122">
        <v>50.01</v>
      </c>
      <c r="AF77" s="123">
        <f t="shared" si="11"/>
        <v>-3.3620013824200094E-2</v>
      </c>
      <c r="AG77" s="121">
        <v>44469</v>
      </c>
      <c r="AH77" s="122">
        <v>106.47</v>
      </c>
      <c r="AI77" s="123">
        <f t="shared" si="12"/>
        <v>-4.3310270464552138E-2</v>
      </c>
      <c r="AJ77" s="121">
        <v>44469</v>
      </c>
      <c r="AK77" s="122">
        <v>25.71</v>
      </c>
      <c r="AL77" s="123">
        <f t="shared" si="13"/>
        <v>-8.8666152659984745E-3</v>
      </c>
      <c r="AM77" s="121">
        <v>44469</v>
      </c>
      <c r="AN77" s="122">
        <v>66.05</v>
      </c>
      <c r="AO77" s="124">
        <f t="shared" si="14"/>
        <v>-2.3059782677023258E-2</v>
      </c>
      <c r="AP77" s="118"/>
      <c r="AQ77" s="9"/>
      <c r="AR77" s="118"/>
      <c r="AS77" s="138"/>
      <c r="AT77" s="9"/>
      <c r="AU77" s="118"/>
      <c r="AV77" s="138"/>
      <c r="AW77" s="9"/>
      <c r="AX77" s="118"/>
      <c r="AY77" s="138"/>
      <c r="AZ77" s="9"/>
      <c r="BA77" s="118"/>
      <c r="BB77" s="139"/>
      <c r="BC77" s="118"/>
      <c r="BD77" s="118"/>
      <c r="BE77" s="138"/>
      <c r="BF77" s="9"/>
      <c r="BG77" s="118"/>
      <c r="BH77" s="138"/>
      <c r="BI77" s="9"/>
      <c r="BJ77" s="118"/>
      <c r="BK77" s="138"/>
      <c r="BL77" s="9"/>
      <c r="BM77" s="118"/>
      <c r="BN77" s="139"/>
      <c r="BO77" s="118"/>
      <c r="BP77" s="138"/>
      <c r="BQ77" s="9"/>
      <c r="BR77" s="118"/>
      <c r="BS77" s="138"/>
      <c r="BT77" s="9"/>
      <c r="BU77" s="118"/>
      <c r="BV77" s="138"/>
      <c r="BW77" s="9"/>
      <c r="BX77" s="118"/>
      <c r="BY77" s="139"/>
      <c r="BZ77" s="118"/>
      <c r="CA77" s="9"/>
      <c r="CB77" s="118"/>
      <c r="CC77" s="139"/>
      <c r="CD77" s="9"/>
      <c r="CE77" s="9"/>
      <c r="CF77" s="140"/>
      <c r="CG77" s="133"/>
    </row>
    <row r="78" spans="1:85" ht="16" x14ac:dyDescent="0.2">
      <c r="B78" s="112">
        <v>44498</v>
      </c>
      <c r="C78" s="113">
        <v>236.91</v>
      </c>
      <c r="D78" s="119">
        <f t="shared" si="2"/>
        <v>6.6873817887057527E-2</v>
      </c>
      <c r="E78" s="112">
        <v>44498</v>
      </c>
      <c r="F78" s="113">
        <v>252.36</v>
      </c>
      <c r="G78" s="119">
        <f t="shared" si="3"/>
        <v>6.5889508362899238E-2</v>
      </c>
      <c r="H78" s="112">
        <v>44498</v>
      </c>
      <c r="I78" s="113">
        <v>229.49</v>
      </c>
      <c r="J78" s="119">
        <f t="shared" si="4"/>
        <v>4.948095303425263E-2</v>
      </c>
      <c r="K78" s="112">
        <v>44498</v>
      </c>
      <c r="L78" s="113">
        <v>77.28</v>
      </c>
      <c r="M78" s="119">
        <f t="shared" si="5"/>
        <v>7.2737368128817245E-2</v>
      </c>
      <c r="N78" s="112">
        <v>44498</v>
      </c>
      <c r="O78" s="113">
        <v>103.2</v>
      </c>
      <c r="P78" s="119">
        <f t="shared" si="6"/>
        <v>2.4826216484607744E-2</v>
      </c>
      <c r="Q78" s="112">
        <v>44498</v>
      </c>
      <c r="R78" s="113">
        <v>108.44</v>
      </c>
      <c r="S78" s="119">
        <f t="shared" si="7"/>
        <v>4.9250120948234194E-2</v>
      </c>
      <c r="T78" s="112">
        <v>44498</v>
      </c>
      <c r="U78" s="113">
        <v>338.81</v>
      </c>
      <c r="V78" s="119">
        <f t="shared" si="8"/>
        <v>9.3041262057618396E-2</v>
      </c>
      <c r="W78" s="112">
        <v>44498</v>
      </c>
      <c r="X78" s="113">
        <v>258.45</v>
      </c>
      <c r="Y78" s="120">
        <f t="shared" si="9"/>
        <v>4.5678912445379478E-2</v>
      </c>
      <c r="Z78" s="77"/>
      <c r="AA78" s="121">
        <v>44498</v>
      </c>
      <c r="AB78" s="122">
        <v>39.96</v>
      </c>
      <c r="AC78" s="123">
        <f t="shared" si="10"/>
        <v>3.2558139534883665E-2</v>
      </c>
      <c r="AD78" s="121">
        <v>44498</v>
      </c>
      <c r="AE78" s="122">
        <v>50.66</v>
      </c>
      <c r="AF78" s="123">
        <f t="shared" si="11"/>
        <v>1.2997400519895994E-2</v>
      </c>
      <c r="AG78" s="121">
        <v>44498</v>
      </c>
      <c r="AH78" s="122">
        <v>110.95</v>
      </c>
      <c r="AI78" s="123">
        <f t="shared" si="12"/>
        <v>4.2077580539119037E-2</v>
      </c>
      <c r="AJ78" s="121">
        <v>44498</v>
      </c>
      <c r="AK78" s="122">
        <v>26.02</v>
      </c>
      <c r="AL78" s="123">
        <f t="shared" si="13"/>
        <v>1.2057565149747131E-2</v>
      </c>
      <c r="AM78" s="121">
        <v>44498</v>
      </c>
      <c r="AN78" s="122">
        <v>68.010000000000005</v>
      </c>
      <c r="AO78" s="124">
        <f t="shared" si="14"/>
        <v>2.9674489023467192E-2</v>
      </c>
      <c r="AP78" s="118"/>
      <c r="AQ78" s="9"/>
      <c r="AR78" s="118"/>
      <c r="BE78" s="138"/>
    </row>
    <row r="80" spans="1:85" ht="15.75" customHeight="1" outlineLevel="1" thickBot="1" x14ac:dyDescent="0.25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</row>
    <row r="81" spans="1:44" ht="15.75" customHeight="1" outlineLevel="1" thickBot="1" x14ac:dyDescent="0.25">
      <c r="A81" s="125" t="s">
        <v>63</v>
      </c>
      <c r="B81" s="126" t="s">
        <v>62</v>
      </c>
      <c r="C81" s="126" t="s">
        <v>45</v>
      </c>
      <c r="D81" s="126"/>
      <c r="E81" s="126" t="s">
        <v>61</v>
      </c>
      <c r="F81" s="126" t="s">
        <v>45</v>
      </c>
      <c r="G81" s="126" t="s">
        <v>44</v>
      </c>
      <c r="H81" s="126" t="s">
        <v>60</v>
      </c>
      <c r="I81" s="126" t="s">
        <v>45</v>
      </c>
      <c r="J81" s="126" t="s">
        <v>44</v>
      </c>
      <c r="K81" s="126" t="s">
        <v>59</v>
      </c>
      <c r="L81" s="126" t="s">
        <v>45</v>
      </c>
      <c r="M81" s="126" t="s">
        <v>44</v>
      </c>
      <c r="N81" s="141" t="s">
        <v>58</v>
      </c>
      <c r="O81" s="142" t="s">
        <v>57</v>
      </c>
      <c r="P81" s="143" t="s">
        <v>52</v>
      </c>
      <c r="Q81" s="143" t="s">
        <v>56</v>
      </c>
      <c r="R81" s="143" t="s">
        <v>45</v>
      </c>
      <c r="S81" s="143" t="s">
        <v>44</v>
      </c>
      <c r="T81" s="143" t="s">
        <v>55</v>
      </c>
      <c r="U81" s="143" t="s">
        <v>45</v>
      </c>
      <c r="V81" s="143" t="s">
        <v>44</v>
      </c>
      <c r="W81" s="143" t="s">
        <v>54</v>
      </c>
      <c r="X81" s="143" t="s">
        <v>45</v>
      </c>
      <c r="Y81" s="143" t="s">
        <v>44</v>
      </c>
      <c r="Z81" s="144" t="s">
        <v>53</v>
      </c>
      <c r="AA81" s="143" t="s">
        <v>52</v>
      </c>
      <c r="AB81" s="143" t="s">
        <v>51</v>
      </c>
      <c r="AC81" s="143" t="s">
        <v>45</v>
      </c>
      <c r="AD81" s="143" t="s">
        <v>44</v>
      </c>
      <c r="AE81" s="143" t="s">
        <v>50</v>
      </c>
      <c r="AF81" s="143" t="s">
        <v>45</v>
      </c>
      <c r="AG81" s="143" t="s">
        <v>44</v>
      </c>
      <c r="AH81" s="143" t="s">
        <v>49</v>
      </c>
      <c r="AI81" s="143" t="s">
        <v>45</v>
      </c>
      <c r="AJ81" s="143"/>
      <c r="AK81" s="144" t="s">
        <v>48</v>
      </c>
      <c r="AL81" s="143" t="s">
        <v>47</v>
      </c>
      <c r="AM81" s="143" t="s">
        <v>45</v>
      </c>
      <c r="AN81" s="143" t="s">
        <v>44</v>
      </c>
      <c r="AP81" s="145" t="s">
        <v>46</v>
      </c>
      <c r="AQ81" s="130" t="s">
        <v>45</v>
      </c>
      <c r="AR81" s="146" t="s">
        <v>44</v>
      </c>
    </row>
    <row r="82" spans="1:44" ht="15.75" customHeight="1" outlineLevel="1" x14ac:dyDescent="0.2">
      <c r="A82" s="118"/>
      <c r="B82" s="127">
        <v>43404</v>
      </c>
      <c r="C82" s="128">
        <v>6.8839040000000002</v>
      </c>
      <c r="D82" s="127"/>
      <c r="E82" s="127">
        <v>43404</v>
      </c>
      <c r="F82" s="128">
        <v>4.8891419999999997</v>
      </c>
      <c r="G82" s="127"/>
      <c r="H82" s="127">
        <v>43404</v>
      </c>
      <c r="I82" s="128">
        <v>24.28237</v>
      </c>
      <c r="J82" s="127"/>
      <c r="K82" s="127">
        <v>43404</v>
      </c>
      <c r="L82" s="128">
        <v>47.439500000000002</v>
      </c>
      <c r="M82" s="128"/>
      <c r="N82" s="118"/>
      <c r="O82" s="118"/>
      <c r="P82" s="147"/>
      <c r="Q82" s="148">
        <v>43404</v>
      </c>
      <c r="R82" s="149">
        <v>65.669899999999998</v>
      </c>
      <c r="S82" s="148"/>
      <c r="T82" s="148">
        <v>43404</v>
      </c>
      <c r="U82" s="149">
        <v>95.546809999999994</v>
      </c>
      <c r="V82" s="148"/>
      <c r="W82" s="148">
        <v>43404</v>
      </c>
      <c r="X82" s="149">
        <v>63.75761</v>
      </c>
      <c r="Y82" s="149"/>
      <c r="Z82" s="118"/>
      <c r="AA82" s="148"/>
      <c r="AB82" s="148">
        <v>43404</v>
      </c>
      <c r="AC82" s="149">
        <v>48.3504</v>
      </c>
      <c r="AD82" s="148"/>
      <c r="AE82" s="148">
        <v>43404</v>
      </c>
      <c r="AF82" s="149">
        <v>27.111070000000002</v>
      </c>
      <c r="AG82" s="148"/>
      <c r="AH82" s="148">
        <v>43404</v>
      </c>
      <c r="AI82" s="149">
        <v>23.685549999999999</v>
      </c>
      <c r="AJ82" s="149"/>
      <c r="AK82" s="118"/>
      <c r="AL82" s="148">
        <v>43404</v>
      </c>
      <c r="AM82" s="149">
        <v>25.2517</v>
      </c>
      <c r="AN82" s="149"/>
      <c r="AO82" s="9"/>
      <c r="AP82" s="150">
        <v>43404</v>
      </c>
      <c r="AQ82" s="151">
        <v>2711.74</v>
      </c>
      <c r="AR82" s="152"/>
    </row>
    <row r="83" spans="1:44" ht="15.75" customHeight="1" outlineLevel="1" x14ac:dyDescent="0.2">
      <c r="A83" s="118"/>
      <c r="B83" s="127">
        <v>43434</v>
      </c>
      <c r="C83" s="128">
        <v>6.92028</v>
      </c>
      <c r="D83" s="153">
        <f t="shared" ref="D83:D118" si="15">(C83-C82)/C82</f>
        <v>5.2842108199068058E-3</v>
      </c>
      <c r="E83" s="127">
        <v>43434</v>
      </c>
      <c r="F83" s="128">
        <v>4.8546699999999996</v>
      </c>
      <c r="G83" s="153">
        <f t="shared" ref="G83:G118" si="16">(F83-F82)/F82</f>
        <v>-7.0507258737831837E-3</v>
      </c>
      <c r="H83" s="127">
        <v>43434</v>
      </c>
      <c r="I83" s="128">
        <v>23.968139999999998</v>
      </c>
      <c r="J83" s="153">
        <f t="shared" ref="J83:J118" si="17">(I83-I82)/I82</f>
        <v>-1.2940664358544986E-2</v>
      </c>
      <c r="K83" s="127">
        <v>43434</v>
      </c>
      <c r="L83" s="128">
        <v>46.606400000000001</v>
      </c>
      <c r="M83" s="154">
        <f t="shared" ref="M83:M118" si="18">(L83-L82)/L82</f>
        <v>-1.7561314937973665E-2</v>
      </c>
      <c r="N83" s="118"/>
      <c r="O83" s="118"/>
      <c r="P83" s="155">
        <f t="shared" ref="P83:P118" si="19">(S83+V83+Y83)/3</f>
        <v>1.0113430765119761E-2</v>
      </c>
      <c r="Q83" s="148">
        <v>43434</v>
      </c>
      <c r="R83" s="149">
        <v>66.185739999999996</v>
      </c>
      <c r="S83" s="155">
        <f t="shared" ref="S83:S118" si="20">(R83-R82)/R82</f>
        <v>7.8550447008446361E-3</v>
      </c>
      <c r="T83" s="148">
        <v>43434</v>
      </c>
      <c r="U83" s="149">
        <v>102.7801</v>
      </c>
      <c r="V83" s="155">
        <f t="shared" ref="V83:V118" si="21">(U83-U82)/U82</f>
        <v>7.5704149620484565E-2</v>
      </c>
      <c r="W83" s="148">
        <v>43434</v>
      </c>
      <c r="X83" s="149">
        <v>60.3645</v>
      </c>
      <c r="Y83" s="156">
        <f t="shared" ref="Y83:Y118" si="22">(X83-X82)/X82</f>
        <v>-5.3218902025969919E-2</v>
      </c>
      <c r="Z83" s="118"/>
      <c r="AA83" s="155">
        <f t="shared" ref="AA83:AA118" si="23">(AD83+AG83+AJ83)/3</f>
        <v>-1.7080732033257742E-2</v>
      </c>
      <c r="AB83" s="148">
        <v>43434</v>
      </c>
      <c r="AC83" s="149">
        <v>53.434840000000001</v>
      </c>
      <c r="AD83" s="155">
        <f t="shared" ref="AD83:AD118" si="24">(AC83-AC82)/AC82</f>
        <v>0.10515817862933917</v>
      </c>
      <c r="AE83" s="148">
        <v>43434</v>
      </c>
      <c r="AF83" s="149">
        <v>23.48237</v>
      </c>
      <c r="AG83" s="155">
        <f t="shared" ref="AG83:AG118" si="25">(AF83-AF82)/AF82</f>
        <v>-0.13384569476601263</v>
      </c>
      <c r="AH83" s="148">
        <v>43434</v>
      </c>
      <c r="AI83" s="149">
        <v>23.151330000000002</v>
      </c>
      <c r="AJ83" s="156">
        <f t="shared" ref="AJ83:AJ118" si="26">(AI83-AI82)/AI82</f>
        <v>-2.2554679963099768E-2</v>
      </c>
      <c r="AK83" s="118"/>
      <c r="AL83" s="148">
        <v>43434</v>
      </c>
      <c r="AM83" s="149">
        <v>26.060649999999999</v>
      </c>
      <c r="AN83" s="156">
        <f t="shared" ref="AN83:AN118" si="27">(AM83-AM82)/AM82</f>
        <v>3.203546691905889E-2</v>
      </c>
      <c r="AO83" s="9"/>
      <c r="AP83" s="150">
        <v>43434</v>
      </c>
      <c r="AQ83" s="151">
        <v>2760.17</v>
      </c>
      <c r="AR83" s="157">
        <f t="shared" ref="AR83:AR118" si="28">(AQ83-AQ82)/AQ82</f>
        <v>1.7859381799140144E-2</v>
      </c>
    </row>
    <row r="84" spans="1:44" ht="15.75" customHeight="1" outlineLevel="1" x14ac:dyDescent="0.2">
      <c r="A84" s="118"/>
      <c r="B84" s="127">
        <v>43465</v>
      </c>
      <c r="C84" s="128">
        <v>7.0261810000000002</v>
      </c>
      <c r="D84" s="153">
        <f t="shared" si="15"/>
        <v>1.5302993520493425E-2</v>
      </c>
      <c r="E84" s="127">
        <v>43465</v>
      </c>
      <c r="F84" s="128">
        <v>4.7512930000000004</v>
      </c>
      <c r="G84" s="153">
        <f t="shared" si="16"/>
        <v>-2.1294341324950856E-2</v>
      </c>
      <c r="H84" s="127">
        <v>43465</v>
      </c>
      <c r="I84" s="128">
        <v>24.298200000000001</v>
      </c>
      <c r="J84" s="153">
        <f t="shared" si="17"/>
        <v>1.3770780711394507E-2</v>
      </c>
      <c r="K84" s="127">
        <v>43465</v>
      </c>
      <c r="L84" s="128">
        <v>47.039520000000003</v>
      </c>
      <c r="M84" s="154">
        <f t="shared" si="18"/>
        <v>9.2931442891963853E-3</v>
      </c>
      <c r="N84" s="118"/>
      <c r="O84" s="118"/>
      <c r="P84" s="155">
        <f t="shared" si="19"/>
        <v>-9.5157767906625015E-2</v>
      </c>
      <c r="Q84" s="148">
        <v>43465</v>
      </c>
      <c r="R84" s="149">
        <v>56.769889999999997</v>
      </c>
      <c r="S84" s="155">
        <f t="shared" si="20"/>
        <v>-0.1422640284750159</v>
      </c>
      <c r="T84" s="148">
        <v>43465</v>
      </c>
      <c r="U84" s="149">
        <v>94.009169999999997</v>
      </c>
      <c r="V84" s="155">
        <f t="shared" si="21"/>
        <v>-8.5336850226843591E-2</v>
      </c>
      <c r="W84" s="148">
        <v>43465</v>
      </c>
      <c r="X84" s="149">
        <v>56.87106</v>
      </c>
      <c r="Y84" s="156">
        <f t="shared" si="22"/>
        <v>-5.7872425018015553E-2</v>
      </c>
      <c r="Z84" s="118"/>
      <c r="AA84" s="155">
        <f t="shared" si="23"/>
        <v>-8.2211878412080927E-2</v>
      </c>
      <c r="AB84" s="148">
        <v>43465</v>
      </c>
      <c r="AC84" s="149">
        <v>47.566800000000001</v>
      </c>
      <c r="AD84" s="155">
        <f t="shared" si="24"/>
        <v>-0.10981674128714525</v>
      </c>
      <c r="AE84" s="148">
        <v>43465</v>
      </c>
      <c r="AF84" s="149">
        <v>21.070530000000002</v>
      </c>
      <c r="AG84" s="155">
        <f t="shared" si="25"/>
        <v>-0.10270854262154962</v>
      </c>
      <c r="AH84" s="148">
        <v>43465</v>
      </c>
      <c r="AI84" s="149">
        <v>22.361630000000002</v>
      </c>
      <c r="AJ84" s="156">
        <f t="shared" si="26"/>
        <v>-3.4110351327547909E-2</v>
      </c>
      <c r="AK84" s="118"/>
      <c r="AL84" s="148">
        <v>43465</v>
      </c>
      <c r="AM84" s="149">
        <v>24.91104</v>
      </c>
      <c r="AN84" s="156">
        <f t="shared" si="27"/>
        <v>-4.4112867484118745E-2</v>
      </c>
      <c r="AO84" s="9"/>
      <c r="AP84" s="150">
        <v>43465</v>
      </c>
      <c r="AQ84" s="151">
        <v>2506.85</v>
      </c>
      <c r="AR84" s="157">
        <f t="shared" si="28"/>
        <v>-9.1776955767217297E-2</v>
      </c>
    </row>
    <row r="85" spans="1:44" ht="15.75" customHeight="1" outlineLevel="1" x14ac:dyDescent="0.2">
      <c r="A85" s="118"/>
      <c r="B85" s="127">
        <v>43496</v>
      </c>
      <c r="C85" s="128">
        <v>7.1353039999999996</v>
      </c>
      <c r="D85" s="153">
        <f t="shared" si="15"/>
        <v>1.5530912169783188E-2</v>
      </c>
      <c r="E85" s="127">
        <v>43496</v>
      </c>
      <c r="F85" s="128">
        <v>4.9860499999999996</v>
      </c>
      <c r="G85" s="153">
        <f t="shared" si="16"/>
        <v>4.9409076645030983E-2</v>
      </c>
      <c r="H85" s="127">
        <v>43496</v>
      </c>
      <c r="I85" s="128">
        <v>25.007290000000001</v>
      </c>
      <c r="J85" s="153">
        <f t="shared" si="17"/>
        <v>2.918282012659373E-2</v>
      </c>
      <c r="K85" s="127">
        <v>43496</v>
      </c>
      <c r="L85" s="128">
        <v>48.140030000000003</v>
      </c>
      <c r="M85" s="154">
        <f t="shared" si="18"/>
        <v>2.3395434307152789E-2</v>
      </c>
      <c r="N85" s="118"/>
      <c r="O85" s="118"/>
      <c r="P85" s="155">
        <f t="shared" si="19"/>
        <v>7.1385125370777236E-2</v>
      </c>
      <c r="Q85" s="148">
        <v>43496</v>
      </c>
      <c r="R85" s="149">
        <v>61.007449999999999</v>
      </c>
      <c r="S85" s="155">
        <f t="shared" si="20"/>
        <v>7.4644499046941995E-2</v>
      </c>
      <c r="T85" s="148">
        <v>43496</v>
      </c>
      <c r="U85" s="149">
        <v>99.073009999999996</v>
      </c>
      <c r="V85" s="155">
        <f t="shared" si="21"/>
        <v>5.3865383557795472E-2</v>
      </c>
      <c r="W85" s="148">
        <v>43496</v>
      </c>
      <c r="X85" s="149">
        <v>61.741810000000001</v>
      </c>
      <c r="Y85" s="156">
        <f t="shared" si="22"/>
        <v>8.564549350759422E-2</v>
      </c>
      <c r="Z85" s="118"/>
      <c r="AA85" s="155">
        <f t="shared" si="23"/>
        <v>0.14658666529834194</v>
      </c>
      <c r="AB85" s="148">
        <v>43496</v>
      </c>
      <c r="AC85" s="149">
        <v>56.894010000000002</v>
      </c>
      <c r="AD85" s="155">
        <f t="shared" si="24"/>
        <v>0.1960865561694291</v>
      </c>
      <c r="AE85" s="148">
        <v>43496</v>
      </c>
      <c r="AF85" s="149">
        <v>24.268650000000001</v>
      </c>
      <c r="AG85" s="155">
        <f t="shared" si="25"/>
        <v>0.15178165902803581</v>
      </c>
      <c r="AH85" s="148">
        <v>43496</v>
      </c>
      <c r="AI85" s="149">
        <v>24.41648</v>
      </c>
      <c r="AJ85" s="156">
        <f t="shared" si="26"/>
        <v>9.1891780697560876E-2</v>
      </c>
      <c r="AK85" s="118"/>
      <c r="AL85" s="148">
        <v>43496</v>
      </c>
      <c r="AM85" s="149">
        <v>28.439589999999999</v>
      </c>
      <c r="AN85" s="156">
        <f t="shared" si="27"/>
        <v>0.14164603324469791</v>
      </c>
      <c r="AO85" s="9"/>
      <c r="AP85" s="150">
        <v>43496</v>
      </c>
      <c r="AQ85" s="151">
        <v>2704.1</v>
      </c>
      <c r="AR85" s="157">
        <f t="shared" si="28"/>
        <v>7.8684404731036967E-2</v>
      </c>
    </row>
    <row r="86" spans="1:44" ht="15.75" customHeight="1" outlineLevel="1" x14ac:dyDescent="0.2">
      <c r="A86" s="118"/>
      <c r="B86" s="127">
        <v>43524</v>
      </c>
      <c r="C86" s="128">
        <v>7.14269</v>
      </c>
      <c r="D86" s="153">
        <f t="shared" si="15"/>
        <v>1.035134592723777E-3</v>
      </c>
      <c r="E86" s="127">
        <v>43524</v>
      </c>
      <c r="F86" s="128">
        <v>5.0608940000000002</v>
      </c>
      <c r="G86" s="153">
        <f t="shared" si="16"/>
        <v>1.5010679796632722E-2</v>
      </c>
      <c r="H86" s="127">
        <v>43524</v>
      </c>
      <c r="I86" s="128">
        <v>25.157540000000001</v>
      </c>
      <c r="J86" s="153">
        <f t="shared" si="17"/>
        <v>6.008247994884682E-3</v>
      </c>
      <c r="K86" s="127">
        <v>43524</v>
      </c>
      <c r="L86" s="128">
        <v>48.734119999999997</v>
      </c>
      <c r="M86" s="154">
        <f t="shared" si="18"/>
        <v>1.2340873073822227E-2</v>
      </c>
      <c r="N86" s="118"/>
      <c r="O86" s="118"/>
      <c r="P86" s="155">
        <f t="shared" si="19"/>
        <v>5.0279690438092273E-2</v>
      </c>
      <c r="Q86" s="148">
        <v>43524</v>
      </c>
      <c r="R86" s="149">
        <v>66.524940000000001</v>
      </c>
      <c r="S86" s="155">
        <f t="shared" si="20"/>
        <v>9.0439610244322663E-2</v>
      </c>
      <c r="T86" s="148">
        <v>43524</v>
      </c>
      <c r="U86" s="149">
        <v>104.3719</v>
      </c>
      <c r="V86" s="155">
        <f t="shared" si="21"/>
        <v>5.3484697800137496E-2</v>
      </c>
      <c r="W86" s="148">
        <v>43524</v>
      </c>
      <c r="X86" s="149">
        <v>62.16874</v>
      </c>
      <c r="Y86" s="156">
        <f t="shared" si="22"/>
        <v>6.914763269816656E-3</v>
      </c>
      <c r="Z86" s="118"/>
      <c r="AA86" s="155">
        <f t="shared" si="23"/>
        <v>-4.1103701429796094E-2</v>
      </c>
      <c r="AB86" s="148">
        <v>43524</v>
      </c>
      <c r="AC86" s="149">
        <v>48.070970000000003</v>
      </c>
      <c r="AD86" s="155">
        <f t="shared" si="24"/>
        <v>-0.15507853990253101</v>
      </c>
      <c r="AE86" s="148">
        <v>43524</v>
      </c>
      <c r="AF86" s="149">
        <v>24.715009999999999</v>
      </c>
      <c r="AG86" s="155">
        <f t="shared" si="25"/>
        <v>1.8392452814639401E-2</v>
      </c>
      <c r="AH86" s="148">
        <v>43524</v>
      </c>
      <c r="AI86" s="149">
        <v>24.74305</v>
      </c>
      <c r="AJ86" s="156">
        <f t="shared" si="26"/>
        <v>1.3374982798503316E-2</v>
      </c>
      <c r="AK86" s="118"/>
      <c r="AL86" s="148">
        <v>43524</v>
      </c>
      <c r="AM86" s="149">
        <v>28.57159</v>
      </c>
      <c r="AN86" s="156">
        <f t="shared" si="27"/>
        <v>4.6414171231020365E-3</v>
      </c>
      <c r="AO86" s="9"/>
      <c r="AP86" s="150">
        <v>43524</v>
      </c>
      <c r="AQ86" s="151">
        <v>2784.49</v>
      </c>
      <c r="AR86" s="157">
        <f t="shared" si="28"/>
        <v>2.9728930143115964E-2</v>
      </c>
    </row>
    <row r="87" spans="1:44" ht="15.75" customHeight="1" outlineLevel="1" x14ac:dyDescent="0.2">
      <c r="A87" s="118"/>
      <c r="B87" s="127">
        <v>43553</v>
      </c>
      <c r="C87" s="128">
        <v>7.2808020000000004</v>
      </c>
      <c r="D87" s="153">
        <f t="shared" si="15"/>
        <v>1.9336132465499756E-2</v>
      </c>
      <c r="E87" s="127">
        <v>43553</v>
      </c>
      <c r="F87" s="128">
        <v>5.1113479999999996</v>
      </c>
      <c r="G87" s="153">
        <f t="shared" si="16"/>
        <v>9.9693848557190351E-3</v>
      </c>
      <c r="H87" s="127">
        <v>43553</v>
      </c>
      <c r="I87" s="128">
        <v>25.354900000000001</v>
      </c>
      <c r="J87" s="153">
        <f t="shared" si="17"/>
        <v>7.8449641737626079E-3</v>
      </c>
      <c r="K87" s="127">
        <v>43553</v>
      </c>
      <c r="L87" s="128">
        <v>48.539340000000003</v>
      </c>
      <c r="M87" s="154">
        <f t="shared" si="18"/>
        <v>-3.9967891079185263E-3</v>
      </c>
      <c r="N87" s="118"/>
      <c r="O87" s="118"/>
      <c r="P87" s="155">
        <f t="shared" si="19"/>
        <v>1.2047566110169279E-2</v>
      </c>
      <c r="Q87" s="148">
        <v>43553</v>
      </c>
      <c r="R87" s="149">
        <v>68.014870000000002</v>
      </c>
      <c r="S87" s="155">
        <f t="shared" si="20"/>
        <v>2.2396562852969142E-2</v>
      </c>
      <c r="T87" s="148">
        <v>43553</v>
      </c>
      <c r="U87" s="149">
        <v>107.5141</v>
      </c>
      <c r="V87" s="155">
        <f t="shared" si="21"/>
        <v>3.0105804340057073E-2</v>
      </c>
      <c r="W87" s="148">
        <v>43553</v>
      </c>
      <c r="X87" s="149">
        <v>61.151679999999999</v>
      </c>
      <c r="Y87" s="156">
        <f t="shared" si="22"/>
        <v>-1.6359668862518377E-2</v>
      </c>
      <c r="Z87" s="118"/>
      <c r="AA87" s="155">
        <f t="shared" si="23"/>
        <v>1.6050624569280646E-3</v>
      </c>
      <c r="AB87" s="148">
        <v>43553</v>
      </c>
      <c r="AC87" s="149">
        <v>46.730780000000003</v>
      </c>
      <c r="AD87" s="155">
        <f t="shared" si="24"/>
        <v>-2.7879404139338142E-2</v>
      </c>
      <c r="AE87" s="148">
        <v>43553</v>
      </c>
      <c r="AF87" s="149">
        <v>23.713640000000002</v>
      </c>
      <c r="AG87" s="155">
        <f t="shared" si="25"/>
        <v>-4.0516673875511194E-2</v>
      </c>
      <c r="AH87" s="148">
        <v>43553</v>
      </c>
      <c r="AI87" s="149">
        <v>26.55452</v>
      </c>
      <c r="AJ87" s="156">
        <f t="shared" si="26"/>
        <v>7.3211265385633537E-2</v>
      </c>
      <c r="AK87" s="118"/>
      <c r="AL87" s="148">
        <v>43553</v>
      </c>
      <c r="AM87" s="149">
        <v>29.77092</v>
      </c>
      <c r="AN87" s="156">
        <f t="shared" si="27"/>
        <v>4.1976312833832484E-2</v>
      </c>
      <c r="AO87" s="9"/>
      <c r="AP87" s="150">
        <v>43553</v>
      </c>
      <c r="AQ87" s="151">
        <v>2834.4</v>
      </c>
      <c r="AR87" s="157">
        <f t="shared" si="28"/>
        <v>1.7924287751078408E-2</v>
      </c>
    </row>
    <row r="88" spans="1:44" ht="15.75" customHeight="1" outlineLevel="1" x14ac:dyDescent="0.2">
      <c r="A88" s="118"/>
      <c r="B88" s="127">
        <v>43585</v>
      </c>
      <c r="C88" s="128">
        <v>7.2984</v>
      </c>
      <c r="D88" s="153">
        <f t="shared" si="15"/>
        <v>2.4170414193380833E-3</v>
      </c>
      <c r="E88" s="127">
        <v>43585</v>
      </c>
      <c r="F88" s="128">
        <v>5.1877680000000002</v>
      </c>
      <c r="G88" s="153">
        <f t="shared" si="16"/>
        <v>1.4951046181946643E-2</v>
      </c>
      <c r="H88" s="127">
        <v>43585</v>
      </c>
      <c r="I88" s="128">
        <v>25.34919</v>
      </c>
      <c r="J88" s="153">
        <f t="shared" si="17"/>
        <v>-2.2520301795710289E-4</v>
      </c>
      <c r="K88" s="127">
        <v>43585</v>
      </c>
      <c r="L88" s="128">
        <v>49.12368</v>
      </c>
      <c r="M88" s="154">
        <f t="shared" si="18"/>
        <v>1.2038482599886966E-2</v>
      </c>
      <c r="N88" s="118"/>
      <c r="O88" s="118"/>
      <c r="P88" s="155">
        <f t="shared" si="19"/>
        <v>-2.8668156457547191E-2</v>
      </c>
      <c r="Q88" s="148">
        <v>43585</v>
      </c>
      <c r="R88" s="149">
        <v>67.577150000000003</v>
      </c>
      <c r="S88" s="155">
        <f t="shared" si="20"/>
        <v>-6.4356514979738806E-3</v>
      </c>
      <c r="T88" s="148">
        <v>43585</v>
      </c>
      <c r="U88" s="149">
        <v>104.79089999999999</v>
      </c>
      <c r="V88" s="155">
        <f t="shared" si="21"/>
        <v>-2.5328770830988733E-2</v>
      </c>
      <c r="W88" s="148">
        <v>43585</v>
      </c>
      <c r="X88" s="149">
        <v>57.834809999999997</v>
      </c>
      <c r="Y88" s="156">
        <f t="shared" si="22"/>
        <v>-5.4240047043678956E-2</v>
      </c>
      <c r="Z88" s="118"/>
      <c r="AA88" s="155">
        <f t="shared" si="23"/>
        <v>3.9923455211362105E-2</v>
      </c>
      <c r="AB88" s="148">
        <v>43585</v>
      </c>
      <c r="AC88" s="149">
        <v>49.356099999999998</v>
      </c>
      <c r="AD88" s="155">
        <f t="shared" si="24"/>
        <v>5.617967429604203E-2</v>
      </c>
      <c r="AE88" s="148">
        <v>43585</v>
      </c>
      <c r="AF88" s="149">
        <v>24.537769999999998</v>
      </c>
      <c r="AG88" s="155">
        <f t="shared" si="25"/>
        <v>3.4753416177356014E-2</v>
      </c>
      <c r="AH88" s="148">
        <v>43585</v>
      </c>
      <c r="AI88" s="149">
        <v>27.32028</v>
      </c>
      <c r="AJ88" s="156">
        <f t="shared" si="26"/>
        <v>2.8837275160688281E-2</v>
      </c>
      <c r="AK88" s="118"/>
      <c r="AL88" s="148">
        <v>43585</v>
      </c>
      <c r="AM88" s="149">
        <v>29.610959999999999</v>
      </c>
      <c r="AN88" s="156">
        <f t="shared" si="27"/>
        <v>-5.3730284452076608E-3</v>
      </c>
      <c r="AO88" s="9"/>
      <c r="AP88" s="150">
        <v>43585</v>
      </c>
      <c r="AQ88" s="158">
        <v>2945.83</v>
      </c>
      <c r="AR88" s="157">
        <f t="shared" si="28"/>
        <v>3.9313434942139368E-2</v>
      </c>
    </row>
    <row r="89" spans="1:44" ht="15.75" customHeight="1" outlineLevel="1" x14ac:dyDescent="0.2">
      <c r="A89" s="118"/>
      <c r="B89" s="127">
        <v>43616</v>
      </c>
      <c r="C89" s="128">
        <v>7.4085850000000004</v>
      </c>
      <c r="D89" s="153">
        <f t="shared" si="15"/>
        <v>1.509714457963395E-2</v>
      </c>
      <c r="E89" s="127">
        <v>43616</v>
      </c>
      <c r="F89" s="128">
        <v>5.1315980000000003</v>
      </c>
      <c r="G89" s="153">
        <f t="shared" si="16"/>
        <v>-1.0827392435436557E-2</v>
      </c>
      <c r="H89" s="127">
        <v>43616</v>
      </c>
      <c r="I89" s="128">
        <v>25.071719999999999</v>
      </c>
      <c r="J89" s="153">
        <f t="shared" si="17"/>
        <v>-1.0945911881208078E-2</v>
      </c>
      <c r="K89" s="127">
        <v>43616</v>
      </c>
      <c r="L89" s="128">
        <v>48.178989999999999</v>
      </c>
      <c r="M89" s="154">
        <f t="shared" si="18"/>
        <v>-1.9230847526081136E-2</v>
      </c>
      <c r="N89" s="118"/>
      <c r="O89" s="118"/>
      <c r="P89" s="155">
        <f t="shared" si="19"/>
        <v>-7.0668175664731103E-2</v>
      </c>
      <c r="Q89" s="148">
        <v>43616</v>
      </c>
      <c r="R89" s="149">
        <v>60.254770000000001</v>
      </c>
      <c r="S89" s="155">
        <f t="shared" si="20"/>
        <v>-0.10835585697236422</v>
      </c>
      <c r="T89" s="148">
        <v>43616</v>
      </c>
      <c r="U89" s="149">
        <v>100.34829999999999</v>
      </c>
      <c r="V89" s="155">
        <f t="shared" si="21"/>
        <v>-4.2394902610818297E-2</v>
      </c>
      <c r="W89" s="148">
        <v>43616</v>
      </c>
      <c r="X89" s="149">
        <v>54.292209999999997</v>
      </c>
      <c r="Y89" s="156">
        <f t="shared" si="22"/>
        <v>-6.1253767411010782E-2</v>
      </c>
      <c r="Z89" s="118"/>
      <c r="AA89" s="155">
        <f t="shared" si="23"/>
        <v>-0.15962949971055712</v>
      </c>
      <c r="AB89" s="148">
        <v>43616</v>
      </c>
      <c r="AC89" s="149">
        <v>38.407519999999998</v>
      </c>
      <c r="AD89" s="155">
        <f t="shared" si="24"/>
        <v>-0.22182830491063921</v>
      </c>
      <c r="AE89" s="148">
        <v>43616</v>
      </c>
      <c r="AF89" s="149">
        <v>19.75055</v>
      </c>
      <c r="AG89" s="155">
        <f t="shared" si="25"/>
        <v>-0.19509596837854451</v>
      </c>
      <c r="AH89" s="148">
        <v>43616</v>
      </c>
      <c r="AI89" s="149">
        <v>25.627400000000002</v>
      </c>
      <c r="AJ89" s="156">
        <f t="shared" si="26"/>
        <v>-6.1964225842487661E-2</v>
      </c>
      <c r="AK89" s="118"/>
      <c r="AL89" s="148">
        <v>43616</v>
      </c>
      <c r="AM89" s="149">
        <v>30.410769999999999</v>
      </c>
      <c r="AN89" s="156">
        <f t="shared" si="27"/>
        <v>2.7010606883397258E-2</v>
      </c>
      <c r="AO89" s="9"/>
      <c r="AP89" s="150">
        <v>43616</v>
      </c>
      <c r="AQ89" s="151">
        <v>2752.06</v>
      </c>
      <c r="AR89" s="157">
        <f t="shared" si="28"/>
        <v>-6.5777726481161508E-2</v>
      </c>
    </row>
    <row r="90" spans="1:44" ht="15.75" customHeight="1" outlineLevel="1" x14ac:dyDescent="0.2">
      <c r="A90" s="118"/>
      <c r="B90" s="127">
        <v>43644</v>
      </c>
      <c r="C90" s="128">
        <v>7.5180579999999999</v>
      </c>
      <c r="D90" s="153">
        <f t="shared" si="15"/>
        <v>1.4776505904973687E-2</v>
      </c>
      <c r="E90" s="127">
        <v>43644</v>
      </c>
      <c r="F90" s="128">
        <v>5.2714109999999996</v>
      </c>
      <c r="G90" s="153">
        <f t="shared" si="16"/>
        <v>2.7245509098725054E-2</v>
      </c>
      <c r="H90" s="127">
        <v>43644</v>
      </c>
      <c r="I90" s="128">
        <v>25.900369999999999</v>
      </c>
      <c r="J90" s="153">
        <f t="shared" si="17"/>
        <v>3.3051182766878365E-2</v>
      </c>
      <c r="K90" s="127">
        <v>43644</v>
      </c>
      <c r="L90" s="128">
        <v>50.078099999999999</v>
      </c>
      <c r="M90" s="154">
        <f t="shared" si="18"/>
        <v>3.9417804316777924E-2</v>
      </c>
      <c r="N90" s="118"/>
      <c r="O90" s="118"/>
      <c r="P90" s="155">
        <f t="shared" si="19"/>
        <v>7.0140348077603207E-2</v>
      </c>
      <c r="Q90" s="148">
        <v>43644</v>
      </c>
      <c r="R90" s="149">
        <v>65.244069999999994</v>
      </c>
      <c r="S90" s="155">
        <f t="shared" si="20"/>
        <v>8.2803402950504881E-2</v>
      </c>
      <c r="T90" s="148">
        <v>43644</v>
      </c>
      <c r="U90" s="149">
        <v>109.6825</v>
      </c>
      <c r="V90" s="155">
        <f t="shared" si="21"/>
        <v>9.3018018242461614E-2</v>
      </c>
      <c r="W90" s="148">
        <v>43644</v>
      </c>
      <c r="X90" s="149">
        <v>56.170699999999997</v>
      </c>
      <c r="Y90" s="156">
        <f t="shared" si="22"/>
        <v>3.459962303984309E-2</v>
      </c>
      <c r="Z90" s="118"/>
      <c r="AA90" s="155">
        <f t="shared" si="23"/>
        <v>0.15206270132200655</v>
      </c>
      <c r="AB90" s="148">
        <v>43644</v>
      </c>
      <c r="AC90" s="149">
        <v>44.545349999999999</v>
      </c>
      <c r="AD90" s="155">
        <f t="shared" si="24"/>
        <v>0.15980802717801101</v>
      </c>
      <c r="AE90" s="148">
        <v>43644</v>
      </c>
      <c r="AF90" s="149">
        <v>25.008459999999999</v>
      </c>
      <c r="AG90" s="155">
        <f t="shared" si="25"/>
        <v>0.26621587753252435</v>
      </c>
      <c r="AH90" s="148">
        <v>43644</v>
      </c>
      <c r="AI90" s="149">
        <v>26.40043</v>
      </c>
      <c r="AJ90" s="156">
        <f t="shared" si="26"/>
        <v>3.0164199255484306E-2</v>
      </c>
      <c r="AK90" s="118"/>
      <c r="AL90" s="148">
        <v>43644</v>
      </c>
      <c r="AM90" s="149">
        <v>29.792909999999999</v>
      </c>
      <c r="AN90" s="156">
        <f t="shared" si="27"/>
        <v>-2.0317144222260743E-2</v>
      </c>
      <c r="AO90" s="9"/>
      <c r="AP90" s="150">
        <v>43644</v>
      </c>
      <c r="AQ90" s="151">
        <v>2941.76</v>
      </c>
      <c r="AR90" s="157">
        <f t="shared" si="28"/>
        <v>6.8930183208215035E-2</v>
      </c>
    </row>
    <row r="91" spans="1:44" ht="15.75" customHeight="1" outlineLevel="1" x14ac:dyDescent="0.2">
      <c r="A91" s="118"/>
      <c r="B91" s="127">
        <v>43677</v>
      </c>
      <c r="C91" s="128">
        <v>7.5357789999999998</v>
      </c>
      <c r="D91" s="153">
        <f t="shared" si="15"/>
        <v>2.3571246723555306E-3</v>
      </c>
      <c r="E91" s="127">
        <v>43677</v>
      </c>
      <c r="F91" s="128">
        <v>5.2949029999999997</v>
      </c>
      <c r="G91" s="153">
        <f t="shared" si="16"/>
        <v>4.4564918197423937E-3</v>
      </c>
      <c r="H91" s="127">
        <v>43677</v>
      </c>
      <c r="I91" s="128">
        <v>25.55283</v>
      </c>
      <c r="J91" s="153">
        <f t="shared" si="17"/>
        <v>-1.3418341127945224E-2</v>
      </c>
      <c r="K91" s="127">
        <v>43677</v>
      </c>
      <c r="L91" s="128">
        <v>49.094459999999998</v>
      </c>
      <c r="M91" s="154">
        <f t="shared" si="18"/>
        <v>-1.9642119010106238E-2</v>
      </c>
      <c r="N91" s="118"/>
      <c r="O91" s="118"/>
      <c r="P91" s="155">
        <f t="shared" si="19"/>
        <v>-2.2288070662231551E-2</v>
      </c>
      <c r="Q91" s="148">
        <v>43677</v>
      </c>
      <c r="R91" s="149">
        <v>63.311349999999997</v>
      </c>
      <c r="S91" s="155">
        <f t="shared" si="20"/>
        <v>-2.9622922052532842E-2</v>
      </c>
      <c r="T91" s="148">
        <v>43677</v>
      </c>
      <c r="U91" s="149">
        <v>108.5102</v>
      </c>
      <c r="V91" s="155">
        <f t="shared" si="21"/>
        <v>-1.0688122535500257E-2</v>
      </c>
      <c r="W91" s="148">
        <v>43677</v>
      </c>
      <c r="X91" s="149">
        <v>54.679189999999998</v>
      </c>
      <c r="Y91" s="156">
        <f t="shared" si="22"/>
        <v>-2.6553167398661547E-2</v>
      </c>
      <c r="Z91" s="118"/>
      <c r="AA91" s="155">
        <f t="shared" si="23"/>
        <v>-7.2549338467662552E-2</v>
      </c>
      <c r="AB91" s="148">
        <v>43677</v>
      </c>
      <c r="AC91" s="149">
        <v>38.282080000000001</v>
      </c>
      <c r="AD91" s="155">
        <f t="shared" si="24"/>
        <v>-0.14060435039796518</v>
      </c>
      <c r="AE91" s="148">
        <v>43677</v>
      </c>
      <c r="AF91" s="149">
        <v>24.02093</v>
      </c>
      <c r="AG91" s="155">
        <f t="shared" si="25"/>
        <v>-3.9487837315852301E-2</v>
      </c>
      <c r="AH91" s="148">
        <v>43677</v>
      </c>
      <c r="AI91" s="149">
        <v>25.408940000000001</v>
      </c>
      <c r="AJ91" s="156">
        <f t="shared" si="26"/>
        <v>-3.7555827689170172E-2</v>
      </c>
      <c r="AK91" s="118"/>
      <c r="AL91" s="148">
        <v>43677</v>
      </c>
      <c r="AM91" s="149">
        <v>30.70851</v>
      </c>
      <c r="AN91" s="156">
        <f t="shared" si="27"/>
        <v>3.0732143989962758E-2</v>
      </c>
      <c r="AO91" s="9"/>
      <c r="AP91" s="150">
        <v>43677</v>
      </c>
      <c r="AQ91" s="151">
        <v>2980.38</v>
      </c>
      <c r="AR91" s="157">
        <f t="shared" si="28"/>
        <v>1.312819536603934E-2</v>
      </c>
    </row>
    <row r="92" spans="1:44" ht="15.75" customHeight="1" outlineLevel="1" x14ac:dyDescent="0.2">
      <c r="A92" s="118"/>
      <c r="B92" s="127">
        <v>43707</v>
      </c>
      <c r="C92" s="128">
        <v>7.7109550000000002</v>
      </c>
      <c r="D92" s="153">
        <f t="shared" si="15"/>
        <v>2.324590463706545E-2</v>
      </c>
      <c r="E92" s="127">
        <v>43707</v>
      </c>
      <c r="F92" s="128">
        <v>5.3456469999999996</v>
      </c>
      <c r="G92" s="153">
        <f t="shared" si="16"/>
        <v>9.5835561104707489E-3</v>
      </c>
      <c r="H92" s="127">
        <v>43707</v>
      </c>
      <c r="I92" s="128">
        <v>25.777709999999999</v>
      </c>
      <c r="J92" s="153">
        <f t="shared" si="17"/>
        <v>8.8005907760509844E-3</v>
      </c>
      <c r="K92" s="127">
        <v>43707</v>
      </c>
      <c r="L92" s="128">
        <v>49.113939999999999</v>
      </c>
      <c r="M92" s="154">
        <f t="shared" si="18"/>
        <v>3.9678611395260272E-4</v>
      </c>
      <c r="N92" s="118"/>
      <c r="O92" s="118"/>
      <c r="P92" s="155">
        <f t="shared" si="19"/>
        <v>-7.2789109683028944E-2</v>
      </c>
      <c r="Q92" s="148">
        <v>43707</v>
      </c>
      <c r="R92" s="149">
        <v>59.029989999999998</v>
      </c>
      <c r="S92" s="155">
        <f t="shared" si="20"/>
        <v>-6.7623893662036888E-2</v>
      </c>
      <c r="T92" s="148">
        <v>43707</v>
      </c>
      <c r="U92" s="149">
        <v>104.82599999999999</v>
      </c>
      <c r="V92" s="155">
        <f t="shared" si="21"/>
        <v>-3.3952568514296393E-2</v>
      </c>
      <c r="W92" s="148">
        <v>43707</v>
      </c>
      <c r="X92" s="149">
        <v>48.29316</v>
      </c>
      <c r="Y92" s="156">
        <f t="shared" si="22"/>
        <v>-0.11679086687275357</v>
      </c>
      <c r="Z92" s="118"/>
      <c r="AA92" s="155">
        <f t="shared" si="23"/>
        <v>4.5102441956623378E-2</v>
      </c>
      <c r="AB92" s="148">
        <v>43707</v>
      </c>
      <c r="AC92" s="149">
        <v>34.360210000000002</v>
      </c>
      <c r="AD92" s="155">
        <f t="shared" si="24"/>
        <v>-0.10244662776944195</v>
      </c>
      <c r="AE92" s="148">
        <v>43707</v>
      </c>
      <c r="AF92" s="149">
        <v>28.016819999999999</v>
      </c>
      <c r="AG92" s="155">
        <f t="shared" si="25"/>
        <v>0.16635034530303361</v>
      </c>
      <c r="AH92" s="148">
        <v>43707</v>
      </c>
      <c r="AI92" s="149">
        <v>27.223230000000001</v>
      </c>
      <c r="AJ92" s="156">
        <f t="shared" si="26"/>
        <v>7.1403608336278471E-2</v>
      </c>
      <c r="AK92" s="118"/>
      <c r="AL92" s="148">
        <v>43707</v>
      </c>
      <c r="AM92" s="149">
        <v>33.895159999999997</v>
      </c>
      <c r="AN92" s="156">
        <f t="shared" si="27"/>
        <v>0.103770909106303</v>
      </c>
      <c r="AO92" s="9"/>
      <c r="AP92" s="150">
        <v>43707</v>
      </c>
      <c r="AQ92" s="151">
        <v>2926.46</v>
      </c>
      <c r="AR92" s="157">
        <f t="shared" si="28"/>
        <v>-1.8091652742267789E-2</v>
      </c>
    </row>
    <row r="93" spans="1:44" ht="15.75" customHeight="1" outlineLevel="1" x14ac:dyDescent="0.2">
      <c r="A93" s="118"/>
      <c r="B93" s="127">
        <v>43738</v>
      </c>
      <c r="C93" s="128">
        <v>7.6811400000000001</v>
      </c>
      <c r="D93" s="153">
        <f t="shared" si="15"/>
        <v>-3.866576837758766E-3</v>
      </c>
      <c r="E93" s="127">
        <v>43738</v>
      </c>
      <c r="F93" s="128">
        <v>5.3684329999999996</v>
      </c>
      <c r="G93" s="153">
        <f t="shared" si="16"/>
        <v>4.2625336091215854E-3</v>
      </c>
      <c r="H93" s="127">
        <v>43738</v>
      </c>
      <c r="I93" s="128">
        <v>25.57274</v>
      </c>
      <c r="J93" s="153">
        <f t="shared" si="17"/>
        <v>-7.9514433206052601E-3</v>
      </c>
      <c r="K93" s="127">
        <v>43738</v>
      </c>
      <c r="L93" s="128">
        <v>48.656199999999998</v>
      </c>
      <c r="M93" s="154">
        <f t="shared" si="18"/>
        <v>-9.3199608909405596E-3</v>
      </c>
      <c r="N93" s="118"/>
      <c r="O93" s="118"/>
      <c r="P93" s="155">
        <f t="shared" si="19"/>
        <v>4.3523101536119248E-2</v>
      </c>
      <c r="Q93" s="148">
        <v>43738</v>
      </c>
      <c r="R93" s="149">
        <v>60.866039999999998</v>
      </c>
      <c r="S93" s="155">
        <f t="shared" si="20"/>
        <v>3.1103681366031068E-2</v>
      </c>
      <c r="T93" s="148">
        <v>43738</v>
      </c>
      <c r="U93" s="149">
        <v>105.6097</v>
      </c>
      <c r="V93" s="155">
        <f t="shared" si="21"/>
        <v>7.4761986530060319E-3</v>
      </c>
      <c r="W93" s="148">
        <v>43738</v>
      </c>
      <c r="X93" s="149">
        <v>52.735619999999997</v>
      </c>
      <c r="Y93" s="156">
        <f t="shared" si="22"/>
        <v>9.1989424589320662E-2</v>
      </c>
      <c r="Z93" s="118"/>
      <c r="AA93" s="155">
        <f t="shared" si="23"/>
        <v>6.2331577714743465E-2</v>
      </c>
      <c r="AB93" s="148">
        <v>43738</v>
      </c>
      <c r="AC93" s="149">
        <v>39.20129</v>
      </c>
      <c r="AD93" s="155">
        <f t="shared" si="24"/>
        <v>0.14089203762142308</v>
      </c>
      <c r="AE93" s="148">
        <v>43738</v>
      </c>
      <c r="AF93" s="149">
        <v>29.078610000000001</v>
      </c>
      <c r="AG93" s="155">
        <f t="shared" si="25"/>
        <v>3.7898305375128297E-2</v>
      </c>
      <c r="AH93" s="148">
        <v>43738</v>
      </c>
      <c r="AI93" s="149">
        <v>27.446580000000001</v>
      </c>
      <c r="AJ93" s="156">
        <f t="shared" si="26"/>
        <v>8.2043901476790207E-3</v>
      </c>
      <c r="AK93" s="118"/>
      <c r="AL93" s="148">
        <v>43738</v>
      </c>
      <c r="AM93" s="149">
        <v>33.893070000000002</v>
      </c>
      <c r="AN93" s="156">
        <f t="shared" si="27"/>
        <v>-6.1660720881550189E-5</v>
      </c>
      <c r="AO93" s="9"/>
      <c r="AP93" s="150">
        <v>43738</v>
      </c>
      <c r="AQ93" s="151">
        <v>2976.74</v>
      </c>
      <c r="AR93" s="157">
        <f t="shared" si="28"/>
        <v>1.7181167690656883E-2</v>
      </c>
    </row>
    <row r="94" spans="1:44" ht="15.75" customHeight="1" outlineLevel="1" x14ac:dyDescent="0.2">
      <c r="A94" s="118"/>
      <c r="B94" s="127">
        <v>43769</v>
      </c>
      <c r="C94" s="128">
        <v>7.7158670000000003</v>
      </c>
      <c r="D94" s="153">
        <f t="shared" si="15"/>
        <v>4.5210736947901191E-3</v>
      </c>
      <c r="E94" s="127">
        <v>43769</v>
      </c>
      <c r="F94" s="128">
        <v>5.4013499999999999</v>
      </c>
      <c r="G94" s="153">
        <f t="shared" si="16"/>
        <v>6.1315843934347898E-3</v>
      </c>
      <c r="H94" s="127">
        <v>43769</v>
      </c>
      <c r="I94" s="128">
        <v>26.234649999999998</v>
      </c>
      <c r="J94" s="153">
        <f t="shared" si="17"/>
        <v>2.5883421174265991E-2</v>
      </c>
      <c r="K94" s="127">
        <v>43769</v>
      </c>
      <c r="L94" s="128">
        <v>49.795670000000001</v>
      </c>
      <c r="M94" s="154">
        <f t="shared" si="18"/>
        <v>2.3418803770125965E-2</v>
      </c>
      <c r="N94" s="118"/>
      <c r="O94" s="118"/>
      <c r="P94" s="155">
        <f t="shared" si="19"/>
        <v>-2.9235911602437686E-2</v>
      </c>
      <c r="Q94" s="148">
        <v>43769</v>
      </c>
      <c r="R94" s="149">
        <v>58.245550000000001</v>
      </c>
      <c r="S94" s="155">
        <f t="shared" si="20"/>
        <v>-4.3053400549797505E-2</v>
      </c>
      <c r="T94" s="148">
        <v>43769</v>
      </c>
      <c r="U94" s="149">
        <v>103.4191</v>
      </c>
      <c r="V94" s="155">
        <f t="shared" si="21"/>
        <v>-2.0742412865484925E-2</v>
      </c>
      <c r="W94" s="148">
        <v>43769</v>
      </c>
      <c r="X94" s="149">
        <v>51.474609999999998</v>
      </c>
      <c r="Y94" s="156">
        <f t="shared" si="22"/>
        <v>-2.391192139203064E-2</v>
      </c>
      <c r="Z94" s="118"/>
      <c r="AA94" s="155">
        <f t="shared" si="23"/>
        <v>0.10053295731235834</v>
      </c>
      <c r="AB94" s="148">
        <v>43769</v>
      </c>
      <c r="AC94" s="149">
        <v>45.272939999999998</v>
      </c>
      <c r="AD94" s="155">
        <f t="shared" si="24"/>
        <v>0.15488393366646858</v>
      </c>
      <c r="AE94" s="148">
        <v>43769</v>
      </c>
      <c r="AF94" s="149">
        <v>31.915980000000001</v>
      </c>
      <c r="AG94" s="155">
        <f t="shared" si="25"/>
        <v>9.7575846988559631E-2</v>
      </c>
      <c r="AH94" s="148">
        <v>43769</v>
      </c>
      <c r="AI94" s="149">
        <v>28.795280000000002</v>
      </c>
      <c r="AJ94" s="156">
        <f t="shared" si="26"/>
        <v>4.9139091282046826E-2</v>
      </c>
      <c r="AK94" s="118"/>
      <c r="AL94" s="148">
        <v>43769</v>
      </c>
      <c r="AM94" s="149">
        <v>36.69258</v>
      </c>
      <c r="AN94" s="156">
        <f t="shared" si="27"/>
        <v>8.2598301068625465E-2</v>
      </c>
      <c r="AO94" s="9"/>
      <c r="AP94" s="150">
        <v>43769</v>
      </c>
      <c r="AQ94" s="151">
        <v>3037.56</v>
      </c>
      <c r="AR94" s="157">
        <f t="shared" si="28"/>
        <v>2.0431747482144953E-2</v>
      </c>
    </row>
    <row r="95" spans="1:44" ht="15.75" customHeight="1" outlineLevel="1" x14ac:dyDescent="0.2">
      <c r="A95" s="118"/>
      <c r="B95" s="127">
        <v>43798</v>
      </c>
      <c r="C95" s="128">
        <v>7.7130890000000001</v>
      </c>
      <c r="D95" s="153">
        <f t="shared" si="15"/>
        <v>-3.60037310129914E-4</v>
      </c>
      <c r="E95" s="127">
        <v>43798</v>
      </c>
      <c r="F95" s="128">
        <v>5.4334899999999999</v>
      </c>
      <c r="G95" s="153">
        <f t="shared" si="16"/>
        <v>5.9503642607866662E-3</v>
      </c>
      <c r="H95" s="127">
        <v>43798</v>
      </c>
      <c r="I95" s="128">
        <v>26.030539999999998</v>
      </c>
      <c r="J95" s="153">
        <f t="shared" si="17"/>
        <v>-7.7801685938253427E-3</v>
      </c>
      <c r="K95" s="127">
        <v>43798</v>
      </c>
      <c r="L95" s="128">
        <v>49.746980000000001</v>
      </c>
      <c r="M95" s="154">
        <f t="shared" si="18"/>
        <v>-9.7779586056379129E-4</v>
      </c>
      <c r="N95" s="118"/>
      <c r="O95" s="118"/>
      <c r="P95" s="155">
        <f t="shared" si="19"/>
        <v>4.1592632069383163E-2</v>
      </c>
      <c r="Q95" s="148">
        <v>43798</v>
      </c>
      <c r="R95" s="149">
        <v>59.436529999999998</v>
      </c>
      <c r="S95" s="155">
        <f t="shared" si="20"/>
        <v>2.0447570672780944E-2</v>
      </c>
      <c r="T95" s="148">
        <v>43798</v>
      </c>
      <c r="U95" s="149">
        <v>105.3283</v>
      </c>
      <c r="V95" s="155">
        <f t="shared" si="21"/>
        <v>1.8460806562810916E-2</v>
      </c>
      <c r="W95" s="148">
        <v>43798</v>
      </c>
      <c r="X95" s="149">
        <v>55.894710000000003</v>
      </c>
      <c r="Y95" s="156">
        <f t="shared" si="22"/>
        <v>8.5869518972557637E-2</v>
      </c>
      <c r="Z95" s="118"/>
      <c r="AA95" s="155">
        <f t="shared" si="23"/>
        <v>3.1100432461244453E-2</v>
      </c>
      <c r="AB95" s="148">
        <v>43798</v>
      </c>
      <c r="AC95" s="149">
        <v>43.118479999999998</v>
      </c>
      <c r="AD95" s="155">
        <f t="shared" si="24"/>
        <v>-4.7588250288141225E-2</v>
      </c>
      <c r="AE95" s="148">
        <v>43798</v>
      </c>
      <c r="AF95" s="149">
        <v>34.794789999999999</v>
      </c>
      <c r="AG95" s="155">
        <f t="shared" si="25"/>
        <v>9.0199642937487667E-2</v>
      </c>
      <c r="AH95" s="148">
        <v>43798</v>
      </c>
      <c r="AI95" s="149">
        <v>30.254909999999999</v>
      </c>
      <c r="AJ95" s="156">
        <f t="shared" si="26"/>
        <v>5.068990473438692E-2</v>
      </c>
      <c r="AK95" s="118"/>
      <c r="AL95" s="148">
        <v>43798</v>
      </c>
      <c r="AM95" s="149">
        <v>36.882829999999998</v>
      </c>
      <c r="AN95" s="156">
        <f t="shared" si="27"/>
        <v>5.1849720025138307E-3</v>
      </c>
      <c r="AO95" s="9"/>
      <c r="AP95" s="150">
        <v>43798</v>
      </c>
      <c r="AQ95" s="151">
        <v>3140.98</v>
      </c>
      <c r="AR95" s="157">
        <f t="shared" si="28"/>
        <v>3.4047064090915104E-2</v>
      </c>
    </row>
    <row r="96" spans="1:44" ht="15.75" customHeight="1" outlineLevel="1" x14ac:dyDescent="0.2">
      <c r="A96" s="118"/>
      <c r="B96" s="127">
        <v>43830</v>
      </c>
      <c r="C96" s="128">
        <v>7.717822</v>
      </c>
      <c r="D96" s="153">
        <f t="shared" si="15"/>
        <v>6.1363222957752411E-4</v>
      </c>
      <c r="E96" s="127">
        <v>43830</v>
      </c>
      <c r="F96" s="128">
        <v>5.5034270000000003</v>
      </c>
      <c r="G96" s="153">
        <f t="shared" si="16"/>
        <v>1.2871469350270335E-2</v>
      </c>
      <c r="H96" s="127">
        <v>43830</v>
      </c>
      <c r="I96" s="128">
        <v>26.579650000000001</v>
      </c>
      <c r="J96" s="153">
        <f t="shared" si="17"/>
        <v>2.1094837064463606E-2</v>
      </c>
      <c r="K96" s="127">
        <v>43830</v>
      </c>
      <c r="L96" s="128">
        <v>51.086590000000001</v>
      </c>
      <c r="M96" s="154">
        <f t="shared" si="18"/>
        <v>2.6928468823635129E-2</v>
      </c>
      <c r="N96" s="118"/>
      <c r="O96" s="118"/>
      <c r="P96" s="155">
        <f t="shared" si="19"/>
        <v>4.5998080927390349E-2</v>
      </c>
      <c r="Q96" s="148">
        <v>43830</v>
      </c>
      <c r="R96" s="149">
        <v>60.875990000000002</v>
      </c>
      <c r="S96" s="155">
        <f t="shared" si="20"/>
        <v>2.4218439400819733E-2</v>
      </c>
      <c r="T96" s="148">
        <v>43830</v>
      </c>
      <c r="U96" s="149">
        <v>108.3678</v>
      </c>
      <c r="V96" s="155">
        <f t="shared" si="21"/>
        <v>2.8857391603206394E-2</v>
      </c>
      <c r="W96" s="148">
        <v>43830</v>
      </c>
      <c r="X96" s="149">
        <v>60.641199999999998</v>
      </c>
      <c r="Y96" s="156">
        <f t="shared" si="22"/>
        <v>8.4918411778144909E-2</v>
      </c>
      <c r="Z96" s="118"/>
      <c r="AA96" s="155">
        <f t="shared" si="23"/>
        <v>1.6209154602986973E-2</v>
      </c>
      <c r="AB96" s="148">
        <v>43830</v>
      </c>
      <c r="AC96" s="149">
        <v>43.36477</v>
      </c>
      <c r="AD96" s="155">
        <f t="shared" si="24"/>
        <v>5.711936042272406E-3</v>
      </c>
      <c r="AE96" s="148">
        <v>43830</v>
      </c>
      <c r="AF96" s="149">
        <v>33.51934</v>
      </c>
      <c r="AG96" s="155">
        <f t="shared" si="25"/>
        <v>-3.6656349988029802E-2</v>
      </c>
      <c r="AH96" s="148">
        <v>43830</v>
      </c>
      <c r="AI96" s="149">
        <v>32.662350000000004</v>
      </c>
      <c r="AJ96" s="156">
        <f t="shared" si="26"/>
        <v>7.9571877754718315E-2</v>
      </c>
      <c r="AK96" s="118"/>
      <c r="AL96" s="148">
        <v>43830</v>
      </c>
      <c r="AM96" s="149">
        <v>34.060639999999999</v>
      </c>
      <c r="AN96" s="156">
        <f t="shared" si="27"/>
        <v>-7.6517718407182939E-2</v>
      </c>
      <c r="AO96" s="9"/>
      <c r="AP96" s="150">
        <v>43830</v>
      </c>
      <c r="AQ96" s="151">
        <v>3230.78</v>
      </c>
      <c r="AR96" s="157">
        <f t="shared" si="28"/>
        <v>2.8589803182446302E-2</v>
      </c>
    </row>
    <row r="97" spans="1:44" ht="15.75" customHeight="1" outlineLevel="1" x14ac:dyDescent="0.2">
      <c r="A97" s="118"/>
      <c r="B97" s="127">
        <v>43861</v>
      </c>
      <c r="C97" s="128">
        <v>7.8667930000000004</v>
      </c>
      <c r="D97" s="153">
        <f t="shared" si="15"/>
        <v>1.9302207280758796E-2</v>
      </c>
      <c r="E97" s="127">
        <v>43861</v>
      </c>
      <c r="F97" s="128">
        <v>5.50814</v>
      </c>
      <c r="G97" s="153">
        <f t="shared" si="16"/>
        <v>8.5637549112575577E-4</v>
      </c>
      <c r="H97" s="127">
        <v>43861</v>
      </c>
      <c r="I97" s="128">
        <v>26.875769999999999</v>
      </c>
      <c r="J97" s="153">
        <f t="shared" si="17"/>
        <v>1.1140853999206099E-2</v>
      </c>
      <c r="K97" s="127">
        <v>43861</v>
      </c>
      <c r="L97" s="128">
        <v>50.426200000000001</v>
      </c>
      <c r="M97" s="154">
        <f t="shared" si="18"/>
        <v>-1.2926875722180705E-2</v>
      </c>
      <c r="N97" s="118"/>
      <c r="O97" s="118"/>
      <c r="P97" s="155">
        <f t="shared" si="19"/>
        <v>-0.10227758627373518</v>
      </c>
      <c r="Q97" s="148">
        <v>43861</v>
      </c>
      <c r="R97" s="149">
        <v>54.193420000000003</v>
      </c>
      <c r="S97" s="155">
        <f t="shared" si="20"/>
        <v>-0.10977349197935012</v>
      </c>
      <c r="T97" s="148">
        <v>43861</v>
      </c>
      <c r="U97" s="149">
        <v>96.344930000000005</v>
      </c>
      <c r="V97" s="155">
        <f t="shared" si="21"/>
        <v>-0.11094504087007392</v>
      </c>
      <c r="W97" s="148">
        <v>43861</v>
      </c>
      <c r="X97" s="149">
        <v>55.419130000000003</v>
      </c>
      <c r="Y97" s="156">
        <f t="shared" si="22"/>
        <v>-8.6114225971781477E-2</v>
      </c>
      <c r="Z97" s="118"/>
      <c r="AA97" s="155">
        <f t="shared" si="23"/>
        <v>-2.8419131937397122E-2</v>
      </c>
      <c r="AB97" s="148">
        <v>43861</v>
      </c>
      <c r="AC97" s="149">
        <v>39.129510000000003</v>
      </c>
      <c r="AD97" s="155">
        <f t="shared" si="24"/>
        <v>-9.7665916364827868E-2</v>
      </c>
      <c r="AE97" s="148">
        <v>43861</v>
      </c>
      <c r="AF97" s="149">
        <v>33.216549999999998</v>
      </c>
      <c r="AG97" s="155">
        <f t="shared" si="25"/>
        <v>-9.033292421628876E-3</v>
      </c>
      <c r="AH97" s="148">
        <v>43861</v>
      </c>
      <c r="AI97" s="149">
        <v>33.362690000000001</v>
      </c>
      <c r="AJ97" s="156">
        <f t="shared" si="26"/>
        <v>2.1441812974265385E-2</v>
      </c>
      <c r="AK97" s="118"/>
      <c r="AL97" s="148">
        <v>43861</v>
      </c>
      <c r="AM97" s="149">
        <v>35.899039999999999</v>
      </c>
      <c r="AN97" s="156">
        <f t="shared" si="27"/>
        <v>5.3974323441955289E-2</v>
      </c>
      <c r="AO97" s="9"/>
      <c r="AP97" s="150">
        <v>43861</v>
      </c>
      <c r="AQ97" s="151">
        <v>3225.52</v>
      </c>
      <c r="AR97" s="157">
        <f t="shared" si="28"/>
        <v>-1.6280898111292685E-3</v>
      </c>
    </row>
    <row r="98" spans="1:44" ht="15.75" customHeight="1" outlineLevel="1" x14ac:dyDescent="0.2">
      <c r="A98" s="118"/>
      <c r="B98" s="127">
        <v>43889</v>
      </c>
      <c r="C98" s="128">
        <v>7.9849500000000004</v>
      </c>
      <c r="D98" s="153">
        <f t="shared" si="15"/>
        <v>1.5019716420655796E-2</v>
      </c>
      <c r="E98" s="127">
        <v>43889</v>
      </c>
      <c r="F98" s="128">
        <v>5.4645320000000002</v>
      </c>
      <c r="G98" s="153">
        <f t="shared" si="16"/>
        <v>-7.9170100977825307E-3</v>
      </c>
      <c r="H98" s="127">
        <v>43889</v>
      </c>
      <c r="I98" s="128">
        <v>26.31672</v>
      </c>
      <c r="J98" s="153">
        <f t="shared" si="17"/>
        <v>-2.0801264484701244E-2</v>
      </c>
      <c r="K98" s="127">
        <v>43889</v>
      </c>
      <c r="L98" s="128">
        <v>49.085700000000003</v>
      </c>
      <c r="M98" s="154">
        <f t="shared" si="18"/>
        <v>-2.6583403072212436E-2</v>
      </c>
      <c r="N98" s="118"/>
      <c r="O98" s="118"/>
      <c r="P98" s="155">
        <f t="shared" si="19"/>
        <v>-0.15271709049996138</v>
      </c>
      <c r="Q98" s="148">
        <v>43889</v>
      </c>
      <c r="R98" s="149">
        <v>45.52046</v>
      </c>
      <c r="S98" s="155">
        <f t="shared" si="20"/>
        <v>-0.1600371410403699</v>
      </c>
      <c r="T98" s="148">
        <v>43889</v>
      </c>
      <c r="U98" s="149">
        <v>84.916409999999999</v>
      </c>
      <c r="V98" s="155">
        <f t="shared" si="21"/>
        <v>-0.11862087605440168</v>
      </c>
      <c r="W98" s="148">
        <v>43889</v>
      </c>
      <c r="X98" s="149">
        <v>45.471769999999999</v>
      </c>
      <c r="Y98" s="156">
        <f t="shared" si="22"/>
        <v>-0.17949325440511252</v>
      </c>
      <c r="Z98" s="118"/>
      <c r="AA98" s="155">
        <f t="shared" si="23"/>
        <v>-2.6868126144929495E-2</v>
      </c>
      <c r="AB98" s="148">
        <v>43889</v>
      </c>
      <c r="AC98" s="149">
        <v>36.220829999999999</v>
      </c>
      <c r="AD98" s="155">
        <f t="shared" si="24"/>
        <v>-7.4334690109843019E-2</v>
      </c>
      <c r="AE98" s="148">
        <v>43889</v>
      </c>
      <c r="AF98" s="149">
        <v>32.636119999999998</v>
      </c>
      <c r="AG98" s="155">
        <f t="shared" si="25"/>
        <v>-1.7474120581457128E-2</v>
      </c>
      <c r="AH98" s="148">
        <v>43889</v>
      </c>
      <c r="AI98" s="149">
        <v>33.736499999999999</v>
      </c>
      <c r="AJ98" s="156">
        <f t="shared" si="26"/>
        <v>1.1204432256511656E-2</v>
      </c>
      <c r="AK98" s="118"/>
      <c r="AL98" s="148">
        <v>43889</v>
      </c>
      <c r="AM98" s="149">
        <v>30.054580000000001</v>
      </c>
      <c r="AN98" s="156">
        <f t="shared" si="27"/>
        <v>-0.16280268218871585</v>
      </c>
      <c r="AO98" s="9"/>
      <c r="AP98" s="150">
        <v>43889</v>
      </c>
      <c r="AQ98" s="151">
        <v>2954.22</v>
      </c>
      <c r="AR98" s="157">
        <f t="shared" si="28"/>
        <v>-8.4110469009648109E-2</v>
      </c>
    </row>
    <row r="99" spans="1:44" ht="15.75" customHeight="1" outlineLevel="1" x14ac:dyDescent="0.2">
      <c r="A99" s="118"/>
      <c r="B99" s="127">
        <v>43921</v>
      </c>
      <c r="C99" s="128">
        <v>7.8478459999999997</v>
      </c>
      <c r="D99" s="153">
        <f t="shared" si="15"/>
        <v>-1.7170301629941424E-2</v>
      </c>
      <c r="E99" s="127">
        <v>43921</v>
      </c>
      <c r="F99" s="128">
        <v>4.9201870000000003</v>
      </c>
      <c r="G99" s="153">
        <f t="shared" si="16"/>
        <v>-9.9614203009516608E-2</v>
      </c>
      <c r="H99" s="127">
        <v>43921</v>
      </c>
      <c r="I99" s="128">
        <v>24.04946</v>
      </c>
      <c r="J99" s="153">
        <f t="shared" si="17"/>
        <v>-8.6152833635802645E-2</v>
      </c>
      <c r="K99" s="127">
        <v>43921</v>
      </c>
      <c r="L99" s="128">
        <v>42.649360000000001</v>
      </c>
      <c r="M99" s="154">
        <f t="shared" si="18"/>
        <v>-0.13112454340062382</v>
      </c>
      <c r="N99" s="118"/>
      <c r="O99" s="118"/>
      <c r="P99" s="155">
        <f t="shared" si="19"/>
        <v>-0.28315201276541851</v>
      </c>
      <c r="Q99" s="148">
        <v>43921</v>
      </c>
      <c r="R99" s="149">
        <v>33.600540000000002</v>
      </c>
      <c r="S99" s="155">
        <f t="shared" si="20"/>
        <v>-0.26185851373206681</v>
      </c>
      <c r="T99" s="148">
        <v>43921</v>
      </c>
      <c r="U99" s="149">
        <v>65.920749999999998</v>
      </c>
      <c r="V99" s="155">
        <f t="shared" si="21"/>
        <v>-0.22369834052099</v>
      </c>
      <c r="W99" s="148">
        <v>43921</v>
      </c>
      <c r="X99" s="149">
        <v>28.924630000000001</v>
      </c>
      <c r="Y99" s="156">
        <f t="shared" si="22"/>
        <v>-0.36389918404319865</v>
      </c>
      <c r="Z99" s="118"/>
      <c r="AA99" s="155">
        <f t="shared" si="23"/>
        <v>-0.37002808476248733</v>
      </c>
      <c r="AB99" s="148">
        <v>43921</v>
      </c>
      <c r="AC99" s="149">
        <v>18.621400000000001</v>
      </c>
      <c r="AD99" s="155">
        <f t="shared" si="24"/>
        <v>-0.48589250991763577</v>
      </c>
      <c r="AE99" s="148">
        <v>43921</v>
      </c>
      <c r="AF99" s="149">
        <v>21.873930000000001</v>
      </c>
      <c r="AG99" s="155">
        <f t="shared" si="25"/>
        <v>-0.32976315812051177</v>
      </c>
      <c r="AH99" s="148">
        <v>43921</v>
      </c>
      <c r="AI99" s="149">
        <v>23.803509999999999</v>
      </c>
      <c r="AJ99" s="156">
        <f t="shared" si="26"/>
        <v>-0.29442858624931456</v>
      </c>
      <c r="AK99" s="118"/>
      <c r="AL99" s="148">
        <v>43921</v>
      </c>
      <c r="AM99" s="149">
        <v>16.87154</v>
      </c>
      <c r="AN99" s="156">
        <f t="shared" si="27"/>
        <v>-0.43863664040555556</v>
      </c>
      <c r="AO99" s="9"/>
      <c r="AP99" s="150">
        <v>43921</v>
      </c>
      <c r="AQ99" s="151">
        <v>2584.59</v>
      </c>
      <c r="AR99" s="157">
        <f t="shared" si="28"/>
        <v>-0.12511932083595659</v>
      </c>
    </row>
    <row r="100" spans="1:44" ht="15.75" customHeight="1" outlineLevel="1" x14ac:dyDescent="0.2">
      <c r="A100" s="118"/>
      <c r="B100" s="127">
        <v>43951</v>
      </c>
      <c r="C100" s="128">
        <v>8.0601590000000005</v>
      </c>
      <c r="D100" s="153">
        <f t="shared" si="15"/>
        <v>2.7053665426156538E-2</v>
      </c>
      <c r="E100" s="127">
        <v>43951</v>
      </c>
      <c r="F100" s="128">
        <v>5.1102040000000004</v>
      </c>
      <c r="G100" s="153">
        <f t="shared" si="16"/>
        <v>3.8619873594235361E-2</v>
      </c>
      <c r="H100" s="127">
        <v>43951</v>
      </c>
      <c r="I100" s="128">
        <v>25.484110000000001</v>
      </c>
      <c r="J100" s="153">
        <f t="shared" si="17"/>
        <v>5.9654146080618912E-2</v>
      </c>
      <c r="K100" s="127">
        <v>43951</v>
      </c>
      <c r="L100" s="128">
        <v>45.754179999999998</v>
      </c>
      <c r="M100" s="154">
        <f t="shared" si="18"/>
        <v>7.2798747742052791E-2</v>
      </c>
      <c r="N100" s="118"/>
      <c r="O100" s="118"/>
      <c r="P100" s="155">
        <f t="shared" si="19"/>
        <v>0.286803346578336</v>
      </c>
      <c r="Q100" s="148">
        <v>43951</v>
      </c>
      <c r="R100" s="149">
        <v>41.122390000000003</v>
      </c>
      <c r="S100" s="155">
        <f t="shared" si="20"/>
        <v>0.22386098556749387</v>
      </c>
      <c r="T100" s="148">
        <v>43951</v>
      </c>
      <c r="U100" s="149">
        <v>83.69735</v>
      </c>
      <c r="V100" s="155">
        <f t="shared" si="21"/>
        <v>0.2696662280086316</v>
      </c>
      <c r="W100" s="148">
        <v>43951</v>
      </c>
      <c r="X100" s="149">
        <v>39.536580000000001</v>
      </c>
      <c r="Y100" s="156">
        <f t="shared" si="22"/>
        <v>0.36688282615888257</v>
      </c>
      <c r="Z100" s="118"/>
      <c r="AA100" s="155">
        <f t="shared" si="23"/>
        <v>0.35429081690034342</v>
      </c>
      <c r="AB100" s="148">
        <v>43951</v>
      </c>
      <c r="AC100" s="149">
        <v>27.0428</v>
      </c>
      <c r="AD100" s="155">
        <f t="shared" si="24"/>
        <v>0.45224311813290075</v>
      </c>
      <c r="AE100" s="148">
        <v>43951</v>
      </c>
      <c r="AF100" s="149">
        <v>28.763580000000001</v>
      </c>
      <c r="AG100" s="155">
        <f t="shared" si="25"/>
        <v>0.31497083514485047</v>
      </c>
      <c r="AH100" s="148">
        <v>43951</v>
      </c>
      <c r="AI100" s="149">
        <v>30.84122</v>
      </c>
      <c r="AJ100" s="156">
        <f t="shared" si="26"/>
        <v>0.29565849742327921</v>
      </c>
      <c r="AK100" s="118"/>
      <c r="AL100" s="148">
        <v>43951</v>
      </c>
      <c r="AM100" s="149">
        <v>18.687190000000001</v>
      </c>
      <c r="AN100" s="156">
        <f t="shared" si="27"/>
        <v>0.10761613936842764</v>
      </c>
      <c r="AO100" s="9"/>
      <c r="AP100" s="150">
        <v>43951</v>
      </c>
      <c r="AQ100" s="151">
        <v>2912.43</v>
      </c>
      <c r="AR100" s="157">
        <f t="shared" si="28"/>
        <v>0.12684410293315368</v>
      </c>
    </row>
    <row r="101" spans="1:44" ht="15.75" customHeight="1" outlineLevel="1" x14ac:dyDescent="0.2">
      <c r="A101" s="118"/>
      <c r="B101" s="127">
        <v>43980</v>
      </c>
      <c r="C101" s="128">
        <v>8.1693800000000003</v>
      </c>
      <c r="D101" s="153">
        <f t="shared" si="15"/>
        <v>1.355072524003556E-2</v>
      </c>
      <c r="E101" s="127">
        <v>43980</v>
      </c>
      <c r="F101" s="128">
        <v>5.301933</v>
      </c>
      <c r="G101" s="153">
        <f t="shared" si="16"/>
        <v>3.7518854433208453E-2</v>
      </c>
      <c r="H101" s="127">
        <v>43980</v>
      </c>
      <c r="I101" s="128">
        <v>25.808959999999999</v>
      </c>
      <c r="J101" s="153">
        <f t="shared" si="17"/>
        <v>1.2747158915889071E-2</v>
      </c>
      <c r="K101" s="127">
        <v>43980</v>
      </c>
      <c r="L101" s="128">
        <v>47.341090000000001</v>
      </c>
      <c r="M101" s="154">
        <f t="shared" si="18"/>
        <v>3.468338849040685E-2</v>
      </c>
      <c r="N101" s="118"/>
      <c r="O101" s="118"/>
      <c r="P101" s="155">
        <f t="shared" si="19"/>
        <v>6.9147452464983815E-3</v>
      </c>
      <c r="Q101" s="148">
        <v>43980</v>
      </c>
      <c r="R101" s="149">
        <v>41.017650000000003</v>
      </c>
      <c r="S101" s="155">
        <f t="shared" si="20"/>
        <v>-2.5470309483471075E-3</v>
      </c>
      <c r="T101" s="148">
        <v>43980</v>
      </c>
      <c r="U101" s="149">
        <v>84.649150000000006</v>
      </c>
      <c r="V101" s="155">
        <f t="shared" si="21"/>
        <v>1.1371925156531308E-2</v>
      </c>
      <c r="W101" s="148">
        <v>43980</v>
      </c>
      <c r="X101" s="149">
        <v>40.007829999999998</v>
      </c>
      <c r="Y101" s="156">
        <f t="shared" si="22"/>
        <v>1.1919341531310947E-2</v>
      </c>
      <c r="Z101" s="118"/>
      <c r="AA101" s="155">
        <f t="shared" si="23"/>
        <v>3.4125494132547549E-2</v>
      </c>
      <c r="AB101" s="148">
        <v>43980</v>
      </c>
      <c r="AC101" s="149">
        <v>26.46302</v>
      </c>
      <c r="AD101" s="155">
        <f t="shared" si="24"/>
        <v>-2.143934799650922E-2</v>
      </c>
      <c r="AE101" s="148">
        <v>43980</v>
      </c>
      <c r="AF101" s="149">
        <v>31.39264</v>
      </c>
      <c r="AG101" s="155">
        <f t="shared" si="25"/>
        <v>9.1402391496468768E-2</v>
      </c>
      <c r="AH101" s="148">
        <v>43980</v>
      </c>
      <c r="AI101" s="149">
        <v>31.840890000000002</v>
      </c>
      <c r="AJ101" s="156">
        <f t="shared" si="26"/>
        <v>3.2413438897683097E-2</v>
      </c>
      <c r="AK101" s="118"/>
      <c r="AL101" s="148">
        <v>43980</v>
      </c>
      <c r="AM101" s="149">
        <v>18.007490000000001</v>
      </c>
      <c r="AN101" s="156">
        <f t="shared" si="27"/>
        <v>-3.6372509724576056E-2</v>
      </c>
      <c r="AO101" s="9"/>
      <c r="AP101" s="150">
        <v>43980</v>
      </c>
      <c r="AQ101" s="151">
        <v>3044.31</v>
      </c>
      <c r="AR101" s="157">
        <f t="shared" si="28"/>
        <v>4.5281775012618368E-2</v>
      </c>
    </row>
    <row r="102" spans="1:44" ht="15.75" customHeight="1" outlineLevel="1" x14ac:dyDescent="0.2">
      <c r="A102" s="118"/>
      <c r="B102" s="127">
        <v>44012</v>
      </c>
      <c r="C102" s="128">
        <v>8.296856</v>
      </c>
      <c r="D102" s="153">
        <f t="shared" si="15"/>
        <v>1.5604121732616147E-2</v>
      </c>
      <c r="E102" s="127">
        <v>44012</v>
      </c>
      <c r="F102" s="128">
        <v>5.3142860000000001</v>
      </c>
      <c r="G102" s="153">
        <f t="shared" si="16"/>
        <v>2.3299049610774141E-3</v>
      </c>
      <c r="H102" s="127">
        <v>44012</v>
      </c>
      <c r="I102" s="128">
        <v>26.41798</v>
      </c>
      <c r="J102" s="153">
        <f t="shared" si="17"/>
        <v>2.3597231349112905E-2</v>
      </c>
      <c r="K102" s="127">
        <v>44012</v>
      </c>
      <c r="L102" s="128">
        <v>48.395740000000004</v>
      </c>
      <c r="M102" s="154">
        <f t="shared" si="18"/>
        <v>2.2277687311382188E-2</v>
      </c>
      <c r="N102" s="118"/>
      <c r="O102" s="118"/>
      <c r="P102" s="155">
        <f t="shared" si="19"/>
        <v>-1.5741211215113547E-2</v>
      </c>
      <c r="Q102" s="148">
        <v>44012</v>
      </c>
      <c r="R102" s="149">
        <v>40.341079999999998</v>
      </c>
      <c r="S102" s="155">
        <f t="shared" si="20"/>
        <v>-1.6494606590090003E-2</v>
      </c>
      <c r="T102" s="148">
        <v>44012</v>
      </c>
      <c r="U102" s="149">
        <v>82.369060000000005</v>
      </c>
      <c r="V102" s="155">
        <f t="shared" si="21"/>
        <v>-2.6935769585400459E-2</v>
      </c>
      <c r="W102" s="148">
        <v>44012</v>
      </c>
      <c r="X102" s="149">
        <v>39.856070000000003</v>
      </c>
      <c r="Y102" s="156">
        <f t="shared" si="22"/>
        <v>-3.7932574698501744E-3</v>
      </c>
      <c r="Z102" s="118"/>
      <c r="AA102" s="155">
        <f t="shared" si="23"/>
        <v>0.1203011316410388</v>
      </c>
      <c r="AB102" s="148">
        <v>44012</v>
      </c>
      <c r="AC102" s="149">
        <v>32.427770000000002</v>
      </c>
      <c r="AD102" s="155">
        <f t="shared" si="24"/>
        <v>0.2253994442055367</v>
      </c>
      <c r="AE102" s="148">
        <v>44012</v>
      </c>
      <c r="AF102" s="149">
        <v>34.695180000000001</v>
      </c>
      <c r="AG102" s="155">
        <f t="shared" si="25"/>
        <v>0.10520109172086198</v>
      </c>
      <c r="AH102" s="148">
        <v>44012</v>
      </c>
      <c r="AI102" s="149">
        <v>32.805759999999999</v>
      </c>
      <c r="AJ102" s="156">
        <f t="shared" si="26"/>
        <v>3.0302858996717669E-2</v>
      </c>
      <c r="AK102" s="118"/>
      <c r="AL102" s="148">
        <v>44012</v>
      </c>
      <c r="AM102" s="149">
        <v>22.502669999999998</v>
      </c>
      <c r="AN102" s="156">
        <f t="shared" si="27"/>
        <v>0.24962834909251636</v>
      </c>
      <c r="AO102" s="9"/>
      <c r="AP102" s="150">
        <v>44012</v>
      </c>
      <c r="AQ102" s="151">
        <v>3100.29</v>
      </c>
      <c r="AR102" s="157">
        <f t="shared" si="28"/>
        <v>1.838840328350267E-2</v>
      </c>
    </row>
    <row r="103" spans="1:44" ht="15.75" customHeight="1" outlineLevel="1" x14ac:dyDescent="0.2">
      <c r="A103" s="118"/>
      <c r="B103" s="127">
        <v>44043</v>
      </c>
      <c r="C103" s="128">
        <v>8.4435880000000001</v>
      </c>
      <c r="D103" s="153">
        <f t="shared" si="15"/>
        <v>1.76852533055895E-2</v>
      </c>
      <c r="E103" s="127">
        <v>44043</v>
      </c>
      <c r="F103" s="128">
        <v>5.5541119999999999</v>
      </c>
      <c r="G103" s="153">
        <f t="shared" si="16"/>
        <v>4.5128545960830838E-2</v>
      </c>
      <c r="H103" s="127">
        <v>44043</v>
      </c>
      <c r="I103" s="128">
        <v>27.95326</v>
      </c>
      <c r="J103" s="153">
        <f t="shared" si="17"/>
        <v>5.8114965640824932E-2</v>
      </c>
      <c r="K103" s="127">
        <v>44043</v>
      </c>
      <c r="L103" s="128">
        <v>51.50056</v>
      </c>
      <c r="M103" s="154">
        <f t="shared" si="18"/>
        <v>6.4154820238310151E-2</v>
      </c>
      <c r="N103" s="118"/>
      <c r="O103" s="118"/>
      <c r="P103" s="155">
        <f t="shared" si="19"/>
        <v>-7.3142188124320329E-2</v>
      </c>
      <c r="Q103" s="148">
        <v>44043</v>
      </c>
      <c r="R103" s="149">
        <v>37.959600000000002</v>
      </c>
      <c r="S103" s="155">
        <f t="shared" si="20"/>
        <v>-5.9033620319535234E-2</v>
      </c>
      <c r="T103" s="148">
        <v>44043</v>
      </c>
      <c r="U103" s="149">
        <v>77.485820000000004</v>
      </c>
      <c r="V103" s="155">
        <f t="shared" si="21"/>
        <v>-5.928488196903061E-2</v>
      </c>
      <c r="W103" s="148">
        <v>44043</v>
      </c>
      <c r="X103" s="149">
        <v>35.826300000000003</v>
      </c>
      <c r="Y103" s="156">
        <f t="shared" si="22"/>
        <v>-0.10110806208439514</v>
      </c>
      <c r="Z103" s="118"/>
      <c r="AA103" s="155">
        <f t="shared" si="23"/>
        <v>0.27340526397498577</v>
      </c>
      <c r="AB103" s="148">
        <v>44043</v>
      </c>
      <c r="AC103" s="149">
        <v>49.330359999999999</v>
      </c>
      <c r="AD103" s="155">
        <f t="shared" si="24"/>
        <v>0.52123812399064118</v>
      </c>
      <c r="AE103" s="148">
        <v>44043</v>
      </c>
      <c r="AF103" s="149">
        <v>42.979230000000001</v>
      </c>
      <c r="AG103" s="155">
        <f t="shared" si="25"/>
        <v>0.23876659524464205</v>
      </c>
      <c r="AH103" s="148">
        <v>44043</v>
      </c>
      <c r="AI103" s="149">
        <v>34.781030000000001</v>
      </c>
      <c r="AJ103" s="156">
        <f t="shared" si="26"/>
        <v>6.0211072689674065E-2</v>
      </c>
      <c r="AK103" s="118"/>
      <c r="AL103" s="148">
        <v>44043</v>
      </c>
      <c r="AM103" s="149">
        <v>22.38926</v>
      </c>
      <c r="AN103" s="156">
        <f t="shared" si="27"/>
        <v>-5.0398463826736226E-3</v>
      </c>
      <c r="AO103" s="9"/>
      <c r="AP103" s="150">
        <v>44043</v>
      </c>
      <c r="AQ103" s="151">
        <v>3271.12</v>
      </c>
      <c r="AR103" s="157">
        <f t="shared" si="28"/>
        <v>5.5101296975444213E-2</v>
      </c>
    </row>
    <row r="104" spans="1:44" ht="15.75" customHeight="1" outlineLevel="1" x14ac:dyDescent="0.2">
      <c r="A104" s="118"/>
      <c r="B104" s="127">
        <v>44074</v>
      </c>
      <c r="C104" s="128">
        <v>8.3797130000000006</v>
      </c>
      <c r="D104" s="153">
        <f t="shared" si="15"/>
        <v>-7.5649119781779333E-3</v>
      </c>
      <c r="E104" s="127">
        <v>44074</v>
      </c>
      <c r="F104" s="128">
        <v>5.5855839999999999</v>
      </c>
      <c r="G104" s="153">
        <f t="shared" si="16"/>
        <v>5.6664323657859162E-3</v>
      </c>
      <c r="H104" s="127">
        <v>44074</v>
      </c>
      <c r="I104" s="128">
        <v>28.25638</v>
      </c>
      <c r="J104" s="153">
        <f t="shared" si="17"/>
        <v>1.0843815712371288E-2</v>
      </c>
      <c r="K104" s="127">
        <v>44074</v>
      </c>
      <c r="L104" s="128">
        <v>53.057899999999997</v>
      </c>
      <c r="M104" s="154">
        <f t="shared" si="18"/>
        <v>3.0239282834982697E-2</v>
      </c>
      <c r="N104" s="118"/>
      <c r="O104" s="118"/>
      <c r="P104" s="155">
        <f t="shared" si="19"/>
        <v>-1.4876368900652436E-3</v>
      </c>
      <c r="Q104" s="148">
        <v>44074</v>
      </c>
      <c r="R104" s="149">
        <v>36.739910000000002</v>
      </c>
      <c r="S104" s="155">
        <f t="shared" si="20"/>
        <v>-3.2131265872137743E-2</v>
      </c>
      <c r="T104" s="148">
        <v>44074</v>
      </c>
      <c r="U104" s="149">
        <v>78.593540000000004</v>
      </c>
      <c r="V104" s="155">
        <f t="shared" si="21"/>
        <v>1.4295776956351503E-2</v>
      </c>
      <c r="W104" s="148">
        <v>44074</v>
      </c>
      <c r="X104" s="149">
        <v>36.305390000000003</v>
      </c>
      <c r="Y104" s="156">
        <f t="shared" si="22"/>
        <v>1.3372578245590511E-2</v>
      </c>
      <c r="Z104" s="118"/>
      <c r="AA104" s="155">
        <f t="shared" si="23"/>
        <v>5.3561159330961304E-2</v>
      </c>
      <c r="AB104" s="148">
        <v>44074</v>
      </c>
      <c r="AC104" s="149">
        <v>53.049869999999999</v>
      </c>
      <c r="AD104" s="155">
        <f t="shared" si="24"/>
        <v>7.5400017352397181E-2</v>
      </c>
      <c r="AE104" s="148">
        <v>44074</v>
      </c>
      <c r="AF104" s="149">
        <v>42.338140000000003</v>
      </c>
      <c r="AG104" s="155">
        <f t="shared" si="25"/>
        <v>-1.4916274674999955E-2</v>
      </c>
      <c r="AH104" s="148">
        <v>44074</v>
      </c>
      <c r="AI104" s="149">
        <v>38.266080000000002</v>
      </c>
      <c r="AJ104" s="156">
        <f t="shared" si="26"/>
        <v>0.10019973531548666</v>
      </c>
      <c r="AK104" s="118"/>
      <c r="AL104" s="148">
        <v>44074</v>
      </c>
      <c r="AM104" s="149">
        <v>25.555319999999998</v>
      </c>
      <c r="AN104" s="156">
        <f t="shared" si="27"/>
        <v>0.14140976521778736</v>
      </c>
      <c r="AO104" s="9"/>
      <c r="AP104" s="150">
        <v>44074</v>
      </c>
      <c r="AQ104" s="151">
        <v>3500.31</v>
      </c>
      <c r="AR104" s="157">
        <f t="shared" si="28"/>
        <v>7.0064687324219249E-2</v>
      </c>
    </row>
    <row r="105" spans="1:44" ht="15.75" customHeight="1" outlineLevel="1" x14ac:dyDescent="0.2">
      <c r="A105" s="118"/>
      <c r="B105" s="127">
        <v>44104</v>
      </c>
      <c r="C105" s="128">
        <v>8.3711110000000009</v>
      </c>
      <c r="D105" s="153">
        <f t="shared" si="15"/>
        <v>-1.026526803483577E-3</v>
      </c>
      <c r="E105" s="127">
        <v>44104</v>
      </c>
      <c r="F105" s="128">
        <v>5.5398699999999996</v>
      </c>
      <c r="G105" s="153">
        <f t="shared" si="16"/>
        <v>-8.184282968441663E-3</v>
      </c>
      <c r="H105" s="127">
        <v>44104</v>
      </c>
      <c r="I105" s="128">
        <v>27.78773</v>
      </c>
      <c r="J105" s="153">
        <f t="shared" si="17"/>
        <v>-1.658563481946379E-2</v>
      </c>
      <c r="K105" s="127">
        <v>44104</v>
      </c>
      <c r="L105" s="128">
        <v>51.421709999999997</v>
      </c>
      <c r="M105" s="154">
        <f t="shared" si="18"/>
        <v>-3.0837820569604137E-2</v>
      </c>
      <c r="N105" s="118"/>
      <c r="O105" s="118"/>
      <c r="P105" s="155">
        <f t="shared" si="19"/>
        <v>-0.13862781157944257</v>
      </c>
      <c r="Q105" s="148">
        <v>44104</v>
      </c>
      <c r="R105" s="149">
        <v>31.5794</v>
      </c>
      <c r="S105" s="155">
        <f t="shared" si="20"/>
        <v>-0.14046060537437358</v>
      </c>
      <c r="T105" s="148">
        <v>44104</v>
      </c>
      <c r="U105" s="149">
        <v>67.422070000000005</v>
      </c>
      <c r="V105" s="155">
        <f t="shared" si="21"/>
        <v>-0.14214234401453349</v>
      </c>
      <c r="W105" s="148">
        <v>44104</v>
      </c>
      <c r="X105" s="149">
        <v>31.46659</v>
      </c>
      <c r="Y105" s="156">
        <f t="shared" si="22"/>
        <v>-0.13328048534942064</v>
      </c>
      <c r="Z105" s="118"/>
      <c r="AA105" s="155">
        <f t="shared" si="23"/>
        <v>-9.6335156952419607E-2</v>
      </c>
      <c r="AB105" s="148">
        <v>44104</v>
      </c>
      <c r="AC105" s="149">
        <v>45.82723</v>
      </c>
      <c r="AD105" s="155">
        <f t="shared" si="24"/>
        <v>-0.13614811874185551</v>
      </c>
      <c r="AE105" s="148">
        <v>44104</v>
      </c>
      <c r="AF105" s="149">
        <v>36.902589999999996</v>
      </c>
      <c r="AG105" s="155">
        <f t="shared" si="25"/>
        <v>-0.12838424172625454</v>
      </c>
      <c r="AH105" s="148">
        <v>44104</v>
      </c>
      <c r="AI105" s="149">
        <v>37.329590000000003</v>
      </c>
      <c r="AJ105" s="156">
        <f t="shared" si="26"/>
        <v>-2.4473110389148799E-2</v>
      </c>
      <c r="AK105" s="118"/>
      <c r="AL105" s="148">
        <v>44104</v>
      </c>
      <c r="AM105" s="149">
        <v>26.26229</v>
      </c>
      <c r="AN105" s="156">
        <f t="shared" si="27"/>
        <v>2.7664298470925112E-2</v>
      </c>
      <c r="AO105" s="9"/>
      <c r="AP105" s="150">
        <v>44104</v>
      </c>
      <c r="AQ105" s="151">
        <v>3363</v>
      </c>
      <c r="AR105" s="157">
        <f t="shared" si="28"/>
        <v>-3.9227954095494386E-2</v>
      </c>
    </row>
    <row r="106" spans="1:44" ht="15.75" customHeight="1" outlineLevel="1" x14ac:dyDescent="0.2">
      <c r="A106" s="118"/>
      <c r="B106" s="127">
        <v>44134</v>
      </c>
      <c r="C106" s="128">
        <v>8.3396699999999999</v>
      </c>
      <c r="D106" s="153">
        <f t="shared" si="15"/>
        <v>-3.755893333632888E-3</v>
      </c>
      <c r="E106" s="127">
        <v>44134</v>
      </c>
      <c r="F106" s="128">
        <v>5.5610369999999998</v>
      </c>
      <c r="G106" s="153">
        <f t="shared" si="16"/>
        <v>3.8208477816266736E-3</v>
      </c>
      <c r="H106" s="127">
        <v>44134</v>
      </c>
      <c r="I106" s="128">
        <v>27.840969999999999</v>
      </c>
      <c r="J106" s="153">
        <f t="shared" si="17"/>
        <v>1.91595355216129E-3</v>
      </c>
      <c r="K106" s="127">
        <v>44134</v>
      </c>
      <c r="L106" s="128">
        <v>51.20487</v>
      </c>
      <c r="M106" s="154">
        <f t="shared" si="18"/>
        <v>-4.2168959375329549E-3</v>
      </c>
      <c r="N106" s="118"/>
      <c r="O106" s="118"/>
      <c r="P106" s="155">
        <f t="shared" si="19"/>
        <v>-6.7439559232890967E-2</v>
      </c>
      <c r="Q106" s="148">
        <v>44134</v>
      </c>
      <c r="R106" s="149">
        <v>30.006409999999999</v>
      </c>
      <c r="S106" s="155">
        <f t="shared" si="20"/>
        <v>-4.9810636047550011E-2</v>
      </c>
      <c r="T106" s="148">
        <v>44134</v>
      </c>
      <c r="U106" s="149">
        <v>65.081029999999998</v>
      </c>
      <c r="V106" s="155">
        <f t="shared" si="21"/>
        <v>-3.4722161452474039E-2</v>
      </c>
      <c r="W106" s="148">
        <v>44134</v>
      </c>
      <c r="X106" s="149">
        <v>27.760269999999998</v>
      </c>
      <c r="Y106" s="156">
        <f t="shared" si="22"/>
        <v>-0.11778588019864884</v>
      </c>
      <c r="Z106" s="118"/>
      <c r="AA106" s="155">
        <f t="shared" si="23"/>
        <v>1.9122922898187421E-2</v>
      </c>
      <c r="AB106" s="148">
        <v>44134</v>
      </c>
      <c r="AC106" s="149">
        <v>45.649070000000002</v>
      </c>
      <c r="AD106" s="155">
        <f t="shared" si="24"/>
        <v>-3.887644965667755E-3</v>
      </c>
      <c r="AE106" s="148">
        <v>44134</v>
      </c>
      <c r="AF106" s="149">
        <v>36.789099999999998</v>
      </c>
      <c r="AG106" s="155">
        <f t="shared" si="25"/>
        <v>-3.0753938951168136E-3</v>
      </c>
      <c r="AH106" s="148">
        <v>44134</v>
      </c>
      <c r="AI106" s="149">
        <v>39.731070000000003</v>
      </c>
      <c r="AJ106" s="156">
        <f t="shared" si="26"/>
        <v>6.4331807555346829E-2</v>
      </c>
      <c r="AK106" s="118"/>
      <c r="AL106" s="148">
        <v>44134</v>
      </c>
      <c r="AM106" s="149">
        <v>24.60594</v>
      </c>
      <c r="AN106" s="156">
        <f t="shared" si="27"/>
        <v>-6.3069519070880709E-2</v>
      </c>
      <c r="AO106" s="9"/>
      <c r="AP106" s="150">
        <v>44134</v>
      </c>
      <c r="AQ106" s="159">
        <v>3268.96</v>
      </c>
      <c r="AR106" s="157">
        <f t="shared" si="28"/>
        <v>-2.7963128159381494E-2</v>
      </c>
    </row>
    <row r="107" spans="1:44" ht="15.75" customHeight="1" outlineLevel="1" x14ac:dyDescent="0.2">
      <c r="A107" s="118"/>
      <c r="B107" s="127">
        <v>44165</v>
      </c>
      <c r="C107" s="128">
        <v>8.4576969999999996</v>
      </c>
      <c r="D107" s="153">
        <f t="shared" si="15"/>
        <v>1.4152478455382487E-2</v>
      </c>
      <c r="E107" s="127">
        <v>44165</v>
      </c>
      <c r="F107" s="128">
        <v>5.7256289999999996</v>
      </c>
      <c r="G107" s="153">
        <f t="shared" si="16"/>
        <v>2.9597357471277362E-2</v>
      </c>
      <c r="H107" s="127">
        <v>44165</v>
      </c>
      <c r="I107" s="128">
        <v>28.99616</v>
      </c>
      <c r="J107" s="153">
        <f t="shared" si="17"/>
        <v>4.1492448000195435E-2</v>
      </c>
      <c r="K107" s="127">
        <v>44165</v>
      </c>
      <c r="L107" s="128">
        <v>54.881360000000001</v>
      </c>
      <c r="M107" s="154">
        <f t="shared" si="18"/>
        <v>7.1799615934968711E-2</v>
      </c>
      <c r="N107" s="118"/>
      <c r="O107" s="118"/>
      <c r="P107" s="155">
        <f t="shared" si="19"/>
        <v>0.28407088675348624</v>
      </c>
      <c r="Q107" s="148">
        <v>44165</v>
      </c>
      <c r="R107" s="149">
        <v>35.921169999999996</v>
      </c>
      <c r="S107" s="155">
        <f t="shared" si="20"/>
        <v>0.19711654943060491</v>
      </c>
      <c r="T107" s="148">
        <v>44165</v>
      </c>
      <c r="U107" s="149">
        <v>82.838120000000004</v>
      </c>
      <c r="V107" s="155">
        <f t="shared" si="21"/>
        <v>0.27284586614563422</v>
      </c>
      <c r="W107" s="148">
        <v>44165</v>
      </c>
      <c r="X107" s="149">
        <v>38.371639999999999</v>
      </c>
      <c r="Y107" s="156">
        <f t="shared" si="22"/>
        <v>0.38225024468421964</v>
      </c>
      <c r="Z107" s="118"/>
      <c r="AA107" s="155">
        <f t="shared" si="23"/>
        <v>0.13154506986686867</v>
      </c>
      <c r="AB107" s="148">
        <v>44165</v>
      </c>
      <c r="AC107" s="149">
        <v>55.002569999999999</v>
      </c>
      <c r="AD107" s="155">
        <f t="shared" si="24"/>
        <v>0.20490012173303851</v>
      </c>
      <c r="AE107" s="148">
        <v>44165</v>
      </c>
      <c r="AF107" s="149">
        <v>41.552700000000002</v>
      </c>
      <c r="AG107" s="155">
        <f t="shared" si="25"/>
        <v>0.12948400477315303</v>
      </c>
      <c r="AH107" s="148">
        <v>44165</v>
      </c>
      <c r="AI107" s="149">
        <v>42.12491</v>
      </c>
      <c r="AJ107" s="156">
        <f t="shared" si="26"/>
        <v>6.0251083094414452E-2</v>
      </c>
      <c r="AK107" s="118"/>
      <c r="AL107" s="148">
        <v>44165</v>
      </c>
      <c r="AM107" s="149">
        <v>31.1739</v>
      </c>
      <c r="AN107" s="156">
        <f t="shared" si="27"/>
        <v>0.26692579108946862</v>
      </c>
      <c r="AO107" s="9"/>
      <c r="AP107" s="150">
        <v>44165</v>
      </c>
      <c r="AQ107" s="151">
        <v>3621.63</v>
      </c>
      <c r="AR107" s="157">
        <f t="shared" si="28"/>
        <v>0.10788446478390683</v>
      </c>
    </row>
    <row r="108" spans="1:44" ht="15.75" customHeight="1" outlineLevel="1" x14ac:dyDescent="0.2">
      <c r="A108" s="118"/>
      <c r="B108" s="127">
        <v>44196</v>
      </c>
      <c r="C108" s="128">
        <v>8.4844179999999998</v>
      </c>
      <c r="D108" s="153">
        <f t="shared" si="15"/>
        <v>3.1593706892077381E-3</v>
      </c>
      <c r="E108" s="127">
        <v>44196</v>
      </c>
      <c r="F108" s="128">
        <v>5.7952279999999998</v>
      </c>
      <c r="G108" s="153">
        <f t="shared" si="16"/>
        <v>1.2155695033681049E-2</v>
      </c>
      <c r="H108" s="127">
        <v>44196</v>
      </c>
      <c r="I108" s="128">
        <v>29.998370000000001</v>
      </c>
      <c r="J108" s="153">
        <f t="shared" si="17"/>
        <v>3.4563542206968154E-2</v>
      </c>
      <c r="K108" s="127">
        <v>44196</v>
      </c>
      <c r="L108" s="128">
        <v>56.55</v>
      </c>
      <c r="M108" s="154">
        <f t="shared" si="18"/>
        <v>3.0404494349265329E-2</v>
      </c>
      <c r="N108" s="118"/>
      <c r="O108" s="118"/>
      <c r="P108" s="155">
        <f t="shared" si="19"/>
        <v>2.0197953859388922E-2</v>
      </c>
      <c r="Q108" s="148">
        <v>44196</v>
      </c>
      <c r="R108" s="149">
        <v>38.832169999999998</v>
      </c>
      <c r="S108" s="155">
        <f t="shared" si="20"/>
        <v>8.1038563053486334E-2</v>
      </c>
      <c r="T108" s="148">
        <v>44196</v>
      </c>
      <c r="U108" s="149">
        <v>80.24409</v>
      </c>
      <c r="V108" s="155">
        <f t="shared" si="21"/>
        <v>-3.1314447986023869E-2</v>
      </c>
      <c r="W108" s="148">
        <v>44196</v>
      </c>
      <c r="X108" s="149">
        <v>38.788730000000001</v>
      </c>
      <c r="Y108" s="156">
        <f t="shared" si="22"/>
        <v>1.0869746510704305E-2</v>
      </c>
      <c r="Z108" s="118"/>
      <c r="AA108" s="155">
        <f t="shared" si="23"/>
        <v>9.3945987355790475E-2</v>
      </c>
      <c r="AB108" s="148">
        <v>44196</v>
      </c>
      <c r="AC108" s="149">
        <v>63.756909999999998</v>
      </c>
      <c r="AD108" s="155">
        <f t="shared" si="24"/>
        <v>0.15916238095783522</v>
      </c>
      <c r="AE108" s="148">
        <v>44196</v>
      </c>
      <c r="AF108" s="149">
        <v>45.924140000000001</v>
      </c>
      <c r="AG108" s="155">
        <f t="shared" si="25"/>
        <v>0.10520230935655203</v>
      </c>
      <c r="AH108" s="148">
        <v>44196</v>
      </c>
      <c r="AI108" s="149">
        <v>42.860970000000002</v>
      </c>
      <c r="AJ108" s="156">
        <f t="shared" si="26"/>
        <v>1.7473271752984208E-2</v>
      </c>
      <c r="AK108" s="118"/>
      <c r="AL108" s="148">
        <v>44196</v>
      </c>
      <c r="AM108" s="149">
        <v>32.881920000000001</v>
      </c>
      <c r="AN108" s="156">
        <f t="shared" si="27"/>
        <v>5.4790064765717517E-2</v>
      </c>
      <c r="AO108" s="9"/>
      <c r="AP108" s="150">
        <v>44196</v>
      </c>
      <c r="AQ108" s="151">
        <v>3756.07</v>
      </c>
      <c r="AR108" s="157">
        <f t="shared" si="28"/>
        <v>3.7121406659432372E-2</v>
      </c>
    </row>
    <row r="109" spans="1:44" ht="15.75" customHeight="1" outlineLevel="1" x14ac:dyDescent="0.2">
      <c r="A109" s="118"/>
      <c r="B109" s="127">
        <v>44225</v>
      </c>
      <c r="C109" s="128">
        <v>8.4260769999999994</v>
      </c>
      <c r="D109" s="153">
        <f t="shared" si="15"/>
        <v>-6.8762524430079257E-3</v>
      </c>
      <c r="E109" s="127">
        <v>44225</v>
      </c>
      <c r="F109" s="128">
        <v>5.7972450000000002</v>
      </c>
      <c r="G109" s="153">
        <f t="shared" si="16"/>
        <v>3.4804497769550733E-4</v>
      </c>
      <c r="H109" s="127">
        <v>44225</v>
      </c>
      <c r="I109" s="128">
        <v>29.608250000000002</v>
      </c>
      <c r="J109" s="153">
        <f t="shared" si="17"/>
        <v>-1.3004706589057991E-2</v>
      </c>
      <c r="K109" s="127">
        <v>44225</v>
      </c>
      <c r="L109" s="128">
        <v>56.26</v>
      </c>
      <c r="M109" s="154">
        <f t="shared" si="18"/>
        <v>-5.1282051282051135E-3</v>
      </c>
      <c r="N109" s="118"/>
      <c r="O109" s="118"/>
      <c r="P109" s="155">
        <f t="shared" si="19"/>
        <v>3.256756959960936E-2</v>
      </c>
      <c r="Q109" s="148">
        <v>44225</v>
      </c>
      <c r="R109" s="149">
        <v>42.242469999999997</v>
      </c>
      <c r="S109" s="155">
        <f t="shared" si="20"/>
        <v>8.7821514996457822E-2</v>
      </c>
      <c r="T109" s="148">
        <v>44225</v>
      </c>
      <c r="U109" s="149">
        <v>80.956729999999993</v>
      </c>
      <c r="V109" s="155">
        <f t="shared" si="21"/>
        <v>8.8809032540588754E-3</v>
      </c>
      <c r="W109" s="148">
        <v>44225</v>
      </c>
      <c r="X109" s="149">
        <v>38.827530000000003</v>
      </c>
      <c r="Y109" s="156">
        <f t="shared" si="22"/>
        <v>1.0002905483113766E-3</v>
      </c>
      <c r="Z109" s="118"/>
      <c r="AA109" s="155">
        <f t="shared" si="23"/>
        <v>3.0068311993369536E-2</v>
      </c>
      <c r="AB109" s="148">
        <v>44225</v>
      </c>
      <c r="AC109" s="149">
        <v>63.55847</v>
      </c>
      <c r="AD109" s="155">
        <f t="shared" si="24"/>
        <v>-3.1124469488875476E-3</v>
      </c>
      <c r="AE109" s="148">
        <v>44225</v>
      </c>
      <c r="AF109" s="149">
        <v>45.760820000000002</v>
      </c>
      <c r="AG109" s="155">
        <f t="shared" si="25"/>
        <v>-3.5562995844886543E-3</v>
      </c>
      <c r="AH109" s="148">
        <v>44225</v>
      </c>
      <c r="AI109" s="149">
        <v>47.013069999999999</v>
      </c>
      <c r="AJ109" s="156">
        <f t="shared" si="26"/>
        <v>9.6873682513484813E-2</v>
      </c>
      <c r="AK109" s="118"/>
      <c r="AL109" s="148">
        <v>44225</v>
      </c>
      <c r="AM109" s="149">
        <v>30.017569999999999</v>
      </c>
      <c r="AN109" s="156">
        <f t="shared" si="27"/>
        <v>-8.7110180914009933E-2</v>
      </c>
      <c r="AO109" s="9"/>
      <c r="AP109" s="150">
        <v>44225</v>
      </c>
      <c r="AQ109" s="151">
        <v>3714.24</v>
      </c>
      <c r="AR109" s="157">
        <f t="shared" si="28"/>
        <v>-1.1136640158463601E-2</v>
      </c>
    </row>
    <row r="110" spans="1:44" ht="15.75" customHeight="1" outlineLevel="1" x14ac:dyDescent="0.2">
      <c r="A110" s="118"/>
      <c r="B110" s="127">
        <v>44253</v>
      </c>
      <c r="C110" s="128">
        <v>8.3162450000000003</v>
      </c>
      <c r="D110" s="153">
        <f t="shared" si="15"/>
        <v>-1.3034772884225844E-2</v>
      </c>
      <c r="E110" s="127">
        <v>44253</v>
      </c>
      <c r="F110" s="128">
        <v>5.7982199999999997</v>
      </c>
      <c r="G110" s="153">
        <f t="shared" si="16"/>
        <v>1.6818333536007258E-4</v>
      </c>
      <c r="H110" s="127">
        <v>44253</v>
      </c>
      <c r="I110" s="128">
        <v>29.037559999999999</v>
      </c>
      <c r="J110" s="153">
        <f t="shared" si="17"/>
        <v>-1.9274695397397772E-2</v>
      </c>
      <c r="K110" s="127">
        <v>44253</v>
      </c>
      <c r="L110" s="128">
        <v>56.29</v>
      </c>
      <c r="M110" s="154">
        <f t="shared" si="18"/>
        <v>5.3323853537150972E-4</v>
      </c>
      <c r="N110" s="118"/>
      <c r="O110" s="118"/>
      <c r="P110" s="155">
        <f t="shared" si="19"/>
        <v>0.24487761474925349</v>
      </c>
      <c r="Q110" s="148">
        <v>44253</v>
      </c>
      <c r="R110" s="149">
        <v>52.090240000000001</v>
      </c>
      <c r="S110" s="155">
        <f t="shared" si="20"/>
        <v>0.23312486225355677</v>
      </c>
      <c r="T110" s="148">
        <v>44253</v>
      </c>
      <c r="U110" s="149">
        <v>96.362790000000004</v>
      </c>
      <c r="V110" s="155">
        <f t="shared" si="21"/>
        <v>0.19029992935732473</v>
      </c>
      <c r="W110" s="148">
        <v>44253</v>
      </c>
      <c r="X110" s="149">
        <v>50.910969999999999</v>
      </c>
      <c r="Y110" s="156">
        <f t="shared" si="22"/>
        <v>0.3112080526368789</v>
      </c>
      <c r="Z110" s="118"/>
      <c r="AA110" s="155">
        <f t="shared" si="23"/>
        <v>6.5748335297577468E-2</v>
      </c>
      <c r="AB110" s="148">
        <v>44253</v>
      </c>
      <c r="AC110" s="149">
        <v>67.775199999999998</v>
      </c>
      <c r="AD110" s="155">
        <f t="shared" si="24"/>
        <v>6.6344108031549512E-2</v>
      </c>
      <c r="AE110" s="148">
        <v>44253</v>
      </c>
      <c r="AF110" s="149">
        <v>48.077019999999997</v>
      </c>
      <c r="AG110" s="155">
        <f t="shared" si="25"/>
        <v>5.0615351735392743E-2</v>
      </c>
      <c r="AH110" s="148">
        <v>44253</v>
      </c>
      <c r="AI110" s="149">
        <v>50.78754</v>
      </c>
      <c r="AJ110" s="156">
        <f t="shared" si="26"/>
        <v>8.0285546125790141E-2</v>
      </c>
      <c r="AK110" s="118"/>
      <c r="AL110" s="148">
        <v>44253</v>
      </c>
      <c r="AM110" s="149">
        <v>32.359369999999998</v>
      </c>
      <c r="AN110" s="156">
        <f t="shared" si="27"/>
        <v>7.8014309619332922E-2</v>
      </c>
      <c r="AO110" s="9"/>
      <c r="AP110" s="150">
        <v>44253</v>
      </c>
      <c r="AQ110" s="158">
        <v>3811.15</v>
      </c>
      <c r="AR110" s="157">
        <f t="shared" si="28"/>
        <v>2.6091474971999741E-2</v>
      </c>
    </row>
    <row r="111" spans="1:44" ht="15.75" customHeight="1" outlineLevel="1" x14ac:dyDescent="0.2">
      <c r="A111" s="118"/>
      <c r="B111" s="127">
        <v>44286</v>
      </c>
      <c r="C111" s="128">
        <v>8.2082189999999997</v>
      </c>
      <c r="D111" s="153">
        <f t="shared" si="15"/>
        <v>-1.2989756795284484E-2</v>
      </c>
      <c r="E111" s="127">
        <v>44286</v>
      </c>
      <c r="F111" s="128">
        <v>5.7895440000000002</v>
      </c>
      <c r="G111" s="153">
        <f t="shared" si="16"/>
        <v>-1.4963212848080035E-3</v>
      </c>
      <c r="H111" s="127">
        <v>44286</v>
      </c>
      <c r="I111" s="128">
        <v>28.506360000000001</v>
      </c>
      <c r="J111" s="153">
        <f t="shared" si="17"/>
        <v>-1.8293548080486045E-2</v>
      </c>
      <c r="K111" s="127">
        <v>44286</v>
      </c>
      <c r="L111" s="128">
        <v>55.26</v>
      </c>
      <c r="M111" s="154">
        <f t="shared" si="18"/>
        <v>-1.8298099129507927E-2</v>
      </c>
      <c r="N111" s="118"/>
      <c r="O111" s="118"/>
      <c r="P111" s="155">
        <f t="shared" si="19"/>
        <v>3.1070485097245675E-2</v>
      </c>
      <c r="Q111" s="148">
        <v>44286</v>
      </c>
      <c r="R111" s="149">
        <v>53.489019999999996</v>
      </c>
      <c r="S111" s="155">
        <f t="shared" si="20"/>
        <v>2.6853015075376789E-2</v>
      </c>
      <c r="T111" s="148">
        <v>44286</v>
      </c>
      <c r="U111" s="149">
        <v>100.9786</v>
      </c>
      <c r="V111" s="155">
        <f t="shared" si="21"/>
        <v>4.7900335803892725E-2</v>
      </c>
      <c r="W111" s="148">
        <v>44286</v>
      </c>
      <c r="X111" s="149">
        <v>51.85069</v>
      </c>
      <c r="Y111" s="156">
        <f t="shared" si="22"/>
        <v>1.8458104412467514E-2</v>
      </c>
      <c r="Z111" s="118"/>
      <c r="AA111" s="155">
        <f t="shared" si="23"/>
        <v>5.5517443267783385E-2</v>
      </c>
      <c r="AB111" s="148">
        <v>44286</v>
      </c>
      <c r="AC111" s="149">
        <v>71.648139999999998</v>
      </c>
      <c r="AD111" s="155">
        <f t="shared" si="24"/>
        <v>5.7143911047108677E-2</v>
      </c>
      <c r="AE111" s="148">
        <v>44286</v>
      </c>
      <c r="AF111" s="149">
        <v>57.59807</v>
      </c>
      <c r="AG111" s="155">
        <f t="shared" si="25"/>
        <v>0.19803744075651949</v>
      </c>
      <c r="AH111" s="148">
        <v>44286</v>
      </c>
      <c r="AI111" s="149">
        <v>46.286290000000001</v>
      </c>
      <c r="AJ111" s="156">
        <f t="shared" si="26"/>
        <v>-8.8629022000278002E-2</v>
      </c>
      <c r="AK111" s="118"/>
      <c r="AL111" s="148">
        <v>44286</v>
      </c>
      <c r="AM111" s="149">
        <v>32.7699</v>
      </c>
      <c r="AN111" s="156">
        <f t="shared" si="27"/>
        <v>1.2686588150511009E-2</v>
      </c>
      <c r="AO111" s="9"/>
      <c r="AP111" s="150">
        <v>44286</v>
      </c>
      <c r="AQ111" s="151">
        <v>3972.89</v>
      </c>
      <c r="AR111" s="157">
        <f t="shared" si="28"/>
        <v>4.2438634008107733E-2</v>
      </c>
    </row>
    <row r="112" spans="1:44" ht="15.75" customHeight="1" outlineLevel="1" x14ac:dyDescent="0.2">
      <c r="A112" s="118"/>
      <c r="B112" s="127">
        <v>44316</v>
      </c>
      <c r="C112" s="128">
        <v>8.278715</v>
      </c>
      <c r="D112" s="153">
        <f t="shared" si="15"/>
        <v>8.5884648058245448E-3</v>
      </c>
      <c r="E112" s="127">
        <v>44316</v>
      </c>
      <c r="F112" s="128">
        <v>5.8581830000000004</v>
      </c>
      <c r="G112" s="153">
        <f t="shared" si="16"/>
        <v>1.1855683280064909E-2</v>
      </c>
      <c r="H112" s="127">
        <v>44316</v>
      </c>
      <c r="I112" s="128">
        <v>29.13841</v>
      </c>
      <c r="J112" s="153">
        <f t="shared" si="17"/>
        <v>2.2172245070924506E-2</v>
      </c>
      <c r="K112" s="127">
        <v>44316</v>
      </c>
      <c r="L112" s="128">
        <v>56.66</v>
      </c>
      <c r="M112" s="154">
        <f t="shared" si="18"/>
        <v>2.5334781035106745E-2</v>
      </c>
      <c r="N112" s="118"/>
      <c r="O112" s="118"/>
      <c r="P112" s="155">
        <f t="shared" si="19"/>
        <v>-8.5688826307095158E-3</v>
      </c>
      <c r="Q112" s="148">
        <v>44316</v>
      </c>
      <c r="R112" s="149">
        <v>54.8399</v>
      </c>
      <c r="S112" s="155">
        <f t="shared" si="20"/>
        <v>2.5255276690431115E-2</v>
      </c>
      <c r="T112" s="148">
        <v>44316</v>
      </c>
      <c r="U112" s="149">
        <v>99.321129999999997</v>
      </c>
      <c r="V112" s="155">
        <f t="shared" si="21"/>
        <v>-1.6414071892460417E-2</v>
      </c>
      <c r="W112" s="148">
        <v>44316</v>
      </c>
      <c r="X112" s="149">
        <v>50.059359999999998</v>
      </c>
      <c r="Y112" s="156">
        <f t="shared" si="22"/>
        <v>-3.4547852690099246E-2</v>
      </c>
      <c r="Z112" s="118"/>
      <c r="AA112" s="155">
        <f t="shared" si="23"/>
        <v>6.9209043430112568E-2</v>
      </c>
      <c r="AB112" s="148">
        <v>44316</v>
      </c>
      <c r="AC112" s="149">
        <v>76.909369999999996</v>
      </c>
      <c r="AD112" s="155">
        <f t="shared" si="24"/>
        <v>7.3431494523095747E-2</v>
      </c>
      <c r="AE112" s="148">
        <v>44316</v>
      </c>
      <c r="AF112" s="149">
        <v>64.231049999999996</v>
      </c>
      <c r="AG112" s="155">
        <f t="shared" si="25"/>
        <v>0.11515976142950617</v>
      </c>
      <c r="AH112" s="148">
        <v>44316</v>
      </c>
      <c r="AI112" s="149">
        <v>47.167389999999997</v>
      </c>
      <c r="AJ112" s="156">
        <f t="shared" si="26"/>
        <v>1.9035874337735785E-2</v>
      </c>
      <c r="AK112" s="118"/>
      <c r="AL112" s="148">
        <v>44316</v>
      </c>
      <c r="AM112" s="149">
        <v>35.009990000000002</v>
      </c>
      <c r="AN112" s="156">
        <f t="shared" si="27"/>
        <v>6.8358157943722811E-2</v>
      </c>
      <c r="AO112" s="9"/>
      <c r="AP112" s="150">
        <v>44316</v>
      </c>
      <c r="AQ112" s="151">
        <v>4181.17</v>
      </c>
      <c r="AR112" s="157">
        <f t="shared" si="28"/>
        <v>5.2425312555847307E-2</v>
      </c>
    </row>
    <row r="113" spans="1:44" ht="15.75" customHeight="1" outlineLevel="1" x14ac:dyDescent="0.2">
      <c r="A113" s="118"/>
      <c r="B113" s="127">
        <v>44344</v>
      </c>
      <c r="C113" s="128">
        <v>8.2995999999999999</v>
      </c>
      <c r="D113" s="153">
        <f t="shared" si="15"/>
        <v>2.5227345065024971E-3</v>
      </c>
      <c r="E113" s="127">
        <v>44344</v>
      </c>
      <c r="F113" s="128">
        <v>5.8690670000000003</v>
      </c>
      <c r="G113" s="153">
        <f t="shared" si="16"/>
        <v>1.8579139641079654E-3</v>
      </c>
      <c r="H113" s="127">
        <v>44344</v>
      </c>
      <c r="I113" s="128">
        <v>29.590769999999999</v>
      </c>
      <c r="J113" s="153">
        <f t="shared" si="17"/>
        <v>1.5524525874953326E-2</v>
      </c>
      <c r="K113" s="127">
        <v>44344</v>
      </c>
      <c r="L113" s="128">
        <v>57.66</v>
      </c>
      <c r="M113" s="154">
        <f t="shared" si="18"/>
        <v>1.7649135192375574E-2</v>
      </c>
      <c r="N113" s="118"/>
      <c r="O113" s="118"/>
      <c r="P113" s="155">
        <f t="shared" si="19"/>
        <v>5.0779745169976222E-2</v>
      </c>
      <c r="Q113" s="148">
        <v>44344</v>
      </c>
      <c r="R113" s="149">
        <v>56.737189999999998</v>
      </c>
      <c r="S113" s="155">
        <f t="shared" si="20"/>
        <v>3.4596890220441649E-2</v>
      </c>
      <c r="T113" s="148">
        <v>44344</v>
      </c>
      <c r="U113" s="149">
        <v>101.2392</v>
      </c>
      <c r="V113" s="155">
        <f t="shared" si="21"/>
        <v>1.9311802030444077E-2</v>
      </c>
      <c r="W113" s="148">
        <v>44344</v>
      </c>
      <c r="X113" s="149">
        <v>54.986730000000001</v>
      </c>
      <c r="Y113" s="156">
        <f t="shared" si="22"/>
        <v>9.8430543259042935E-2</v>
      </c>
      <c r="Z113" s="118"/>
      <c r="AA113" s="155">
        <f t="shared" si="23"/>
        <v>-1.645131921267768E-3</v>
      </c>
      <c r="AB113" s="148">
        <v>44344</v>
      </c>
      <c r="AC113" s="149">
        <v>76.59111</v>
      </c>
      <c r="AD113" s="155">
        <f t="shared" si="24"/>
        <v>-4.1381173711342988E-3</v>
      </c>
      <c r="AE113" s="148">
        <v>44344</v>
      </c>
      <c r="AF113" s="149">
        <v>63.623190000000001</v>
      </c>
      <c r="AG113" s="155">
        <f t="shared" si="25"/>
        <v>-9.4636472547155182E-3</v>
      </c>
      <c r="AH113" s="148">
        <v>44344</v>
      </c>
      <c r="AI113" s="149">
        <v>47.576160000000002</v>
      </c>
      <c r="AJ113" s="156">
        <f t="shared" si="26"/>
        <v>8.666368862046513E-3</v>
      </c>
      <c r="AK113" s="118"/>
      <c r="AL113" s="148">
        <v>44344</v>
      </c>
      <c r="AM113" s="149">
        <v>33.650289999999998</v>
      </c>
      <c r="AN113" s="156">
        <f t="shared" si="27"/>
        <v>-3.8837486100396015E-2</v>
      </c>
      <c r="AO113" s="9"/>
      <c r="AP113" s="150">
        <v>44344</v>
      </c>
      <c r="AQ113" s="151">
        <v>4204.1099999999997</v>
      </c>
      <c r="AR113" s="157">
        <f t="shared" si="28"/>
        <v>5.4865025818131288E-3</v>
      </c>
    </row>
    <row r="114" spans="1:44" ht="15.75" customHeight="1" outlineLevel="1" x14ac:dyDescent="0.2">
      <c r="A114" s="118"/>
      <c r="B114" s="127">
        <v>44377</v>
      </c>
      <c r="C114" s="128">
        <v>8.3891880000000008</v>
      </c>
      <c r="D114" s="153">
        <f t="shared" si="15"/>
        <v>1.0794255144826364E-2</v>
      </c>
      <c r="E114" s="127">
        <v>44377</v>
      </c>
      <c r="F114" s="128">
        <v>5.928318</v>
      </c>
      <c r="G114" s="153">
        <f t="shared" si="16"/>
        <v>1.0095471733411753E-2</v>
      </c>
      <c r="H114" s="127">
        <v>44377</v>
      </c>
      <c r="I114" s="128">
        <v>29.09637</v>
      </c>
      <c r="J114" s="153">
        <f t="shared" si="17"/>
        <v>-1.670791263627134E-2</v>
      </c>
      <c r="K114" s="127">
        <v>44377</v>
      </c>
      <c r="L114" s="128">
        <v>56.26</v>
      </c>
      <c r="M114" s="154">
        <f t="shared" si="18"/>
        <v>-2.4280263614290646E-2</v>
      </c>
      <c r="N114" s="118"/>
      <c r="O114" s="118"/>
      <c r="P114" s="155">
        <f t="shared" si="19"/>
        <v>6.0806161826697937E-2</v>
      </c>
      <c r="Q114" s="148">
        <v>44377</v>
      </c>
      <c r="R114" s="149">
        <v>61.315449999999998</v>
      </c>
      <c r="S114" s="155">
        <f t="shared" si="20"/>
        <v>8.0692399464971754E-2</v>
      </c>
      <c r="T114" s="148">
        <v>44377</v>
      </c>
      <c r="U114" s="149">
        <v>102.16589999999999</v>
      </c>
      <c r="V114" s="155">
        <f t="shared" si="21"/>
        <v>9.1535689732830435E-3</v>
      </c>
      <c r="W114" s="148">
        <v>44377</v>
      </c>
      <c r="X114" s="149">
        <v>60.076990000000002</v>
      </c>
      <c r="Y114" s="156">
        <f t="shared" si="22"/>
        <v>9.2572517041839011E-2</v>
      </c>
      <c r="Z114" s="118"/>
      <c r="AA114" s="155">
        <f t="shared" si="23"/>
        <v>-3.6815488562053932E-2</v>
      </c>
      <c r="AB114" s="148">
        <v>44377</v>
      </c>
      <c r="AC114" s="149">
        <v>71.501599999999996</v>
      </c>
      <c r="AD114" s="155">
        <f t="shared" si="24"/>
        <v>-6.6450401358591149E-2</v>
      </c>
      <c r="AE114" s="148">
        <v>44377</v>
      </c>
      <c r="AF114" s="149">
        <v>56.257210000000001</v>
      </c>
      <c r="AG114" s="155">
        <f t="shared" si="25"/>
        <v>-0.11577508138148999</v>
      </c>
      <c r="AH114" s="148">
        <v>44377</v>
      </c>
      <c r="AI114" s="149">
        <v>50.991129999999998</v>
      </c>
      <c r="AJ114" s="156">
        <f t="shared" si="26"/>
        <v>7.1779017053919369E-2</v>
      </c>
      <c r="AK114" s="118"/>
      <c r="AL114" s="148">
        <v>44377</v>
      </c>
      <c r="AM114" s="149">
        <v>34.108110000000003</v>
      </c>
      <c r="AN114" s="156">
        <f t="shared" si="27"/>
        <v>1.3605231931136559E-2</v>
      </c>
      <c r="AO114" s="9"/>
      <c r="AP114" s="150">
        <v>44377</v>
      </c>
      <c r="AQ114" s="151">
        <v>4297.5</v>
      </c>
      <c r="AR114" s="157">
        <f t="shared" si="28"/>
        <v>2.221397632316955E-2</v>
      </c>
    </row>
    <row r="115" spans="1:44" ht="15.75" customHeight="1" outlineLevel="1" x14ac:dyDescent="0.2">
      <c r="A115" s="118"/>
      <c r="B115" s="127">
        <v>44407</v>
      </c>
      <c r="C115" s="128">
        <v>8.4888580000000005</v>
      </c>
      <c r="D115" s="153">
        <f t="shared" si="15"/>
        <v>1.188076843670683E-2</v>
      </c>
      <c r="E115" s="127">
        <v>44407</v>
      </c>
      <c r="F115" s="128">
        <v>5.9590719999999999</v>
      </c>
      <c r="G115" s="153">
        <f t="shared" si="16"/>
        <v>5.1876434428787298E-3</v>
      </c>
      <c r="H115" s="127">
        <v>44407</v>
      </c>
      <c r="I115" s="128">
        <v>29.48781</v>
      </c>
      <c r="J115" s="153">
        <f t="shared" si="17"/>
        <v>1.3453224577498819E-2</v>
      </c>
      <c r="K115" s="127">
        <v>44407</v>
      </c>
      <c r="L115" s="128">
        <v>56.49</v>
      </c>
      <c r="M115" s="154">
        <f t="shared" si="18"/>
        <v>4.0881621045148241E-3</v>
      </c>
      <c r="N115" s="118"/>
      <c r="O115" s="118"/>
      <c r="P115" s="155">
        <f t="shared" si="19"/>
        <v>-6.2586774024791292E-2</v>
      </c>
      <c r="Q115" s="148">
        <v>44407</v>
      </c>
      <c r="R115" s="149">
        <v>55.959580000000003</v>
      </c>
      <c r="S115" s="155">
        <f t="shared" si="20"/>
        <v>-8.7349436398167113E-2</v>
      </c>
      <c r="T115" s="148">
        <v>44407</v>
      </c>
      <c r="U115" s="149">
        <v>99.307860000000005</v>
      </c>
      <c r="V115" s="155">
        <f t="shared" si="21"/>
        <v>-2.797450029804454E-2</v>
      </c>
      <c r="W115" s="148">
        <v>44407</v>
      </c>
      <c r="X115" s="149">
        <v>55.725230000000003</v>
      </c>
      <c r="Y115" s="156">
        <f t="shared" si="22"/>
        <v>-7.243638537816223E-2</v>
      </c>
      <c r="Z115" s="118"/>
      <c r="AA115" s="155">
        <f t="shared" si="23"/>
        <v>-2.0708757825973482E-2</v>
      </c>
      <c r="AB115" s="148">
        <v>44407</v>
      </c>
      <c r="AC115" s="149">
        <v>71.491619999999998</v>
      </c>
      <c r="AD115" s="155">
        <f t="shared" si="24"/>
        <v>-1.3957729617237612E-4</v>
      </c>
      <c r="AE115" s="148">
        <v>44407</v>
      </c>
      <c r="AF115" s="149">
        <v>51.063290000000002</v>
      </c>
      <c r="AG115" s="155">
        <f t="shared" si="25"/>
        <v>-9.2324521603541987E-2</v>
      </c>
      <c r="AH115" s="148">
        <v>44407</v>
      </c>
      <c r="AI115" s="149">
        <v>52.538089999999997</v>
      </c>
      <c r="AJ115" s="156">
        <f t="shared" si="26"/>
        <v>3.0337825421793922E-2</v>
      </c>
      <c r="AK115" s="118"/>
      <c r="AL115" s="148">
        <v>44407</v>
      </c>
      <c r="AM115" s="149">
        <v>35.768549999999998</v>
      </c>
      <c r="AN115" s="156">
        <f t="shared" si="27"/>
        <v>4.8681677172965433E-2</v>
      </c>
      <c r="AO115" s="9"/>
      <c r="AP115" s="150">
        <v>44407</v>
      </c>
      <c r="AQ115" s="160">
        <v>4395.26</v>
      </c>
      <c r="AR115" s="157">
        <f t="shared" si="28"/>
        <v>2.2748109365910464E-2</v>
      </c>
    </row>
    <row r="116" spans="1:44" ht="15.75" customHeight="1" x14ac:dyDescent="0.2">
      <c r="A116" s="118"/>
      <c r="B116" s="127">
        <v>44439</v>
      </c>
      <c r="C116" s="128">
        <v>8.4688949999999998</v>
      </c>
      <c r="D116" s="153">
        <f t="shared" si="15"/>
        <v>-2.3516708607919483E-3</v>
      </c>
      <c r="E116" s="127">
        <v>44439</v>
      </c>
      <c r="F116" s="128">
        <v>5.9899329999999997</v>
      </c>
      <c r="G116" s="153">
        <f t="shared" si="16"/>
        <v>5.1788265018445495E-3</v>
      </c>
      <c r="H116" s="127">
        <v>44439</v>
      </c>
      <c r="I116" s="128">
        <v>29.069469999999999</v>
      </c>
      <c r="J116" s="153">
        <f t="shared" si="17"/>
        <v>-1.4186879256207924E-2</v>
      </c>
      <c r="K116" s="127">
        <v>44439</v>
      </c>
      <c r="L116" s="128">
        <v>56.27</v>
      </c>
      <c r="M116" s="154">
        <f t="shared" si="18"/>
        <v>-3.894494600814283E-3</v>
      </c>
      <c r="N116" s="118"/>
      <c r="O116" s="118"/>
      <c r="P116" s="155">
        <f t="shared" si="19"/>
        <v>-2.8262866872894716E-2</v>
      </c>
      <c r="Q116" s="148">
        <v>44439</v>
      </c>
      <c r="R116" s="149">
        <v>53.79701</v>
      </c>
      <c r="S116" s="155">
        <f t="shared" si="20"/>
        <v>-3.8645214992678686E-2</v>
      </c>
      <c r="T116" s="148">
        <v>44439</v>
      </c>
      <c r="U116" s="149">
        <v>95.664339999999996</v>
      </c>
      <c r="V116" s="155">
        <f t="shared" si="21"/>
        <v>-3.6689140215084778E-2</v>
      </c>
      <c r="W116" s="148">
        <v>44439</v>
      </c>
      <c r="X116" s="149">
        <v>55.198390000000003</v>
      </c>
      <c r="Y116" s="156">
        <f t="shared" si="22"/>
        <v>-9.4542454109206898E-3</v>
      </c>
      <c r="Z116" s="118"/>
      <c r="AA116" s="155">
        <f t="shared" si="23"/>
        <v>7.4969921036941695E-2</v>
      </c>
      <c r="AB116" s="148">
        <v>44439</v>
      </c>
      <c r="AC116" s="149">
        <v>76.948009999999996</v>
      </c>
      <c r="AD116" s="155">
        <f t="shared" si="24"/>
        <v>7.6322092015819465E-2</v>
      </c>
      <c r="AE116" s="148">
        <v>44439</v>
      </c>
      <c r="AF116" s="149">
        <v>57.85</v>
      </c>
      <c r="AG116" s="155">
        <f t="shared" si="25"/>
        <v>0.13290780911296549</v>
      </c>
      <c r="AH116" s="148">
        <v>44439</v>
      </c>
      <c r="AI116" s="149">
        <v>53.361879999999999</v>
      </c>
      <c r="AJ116" s="156">
        <f t="shared" si="26"/>
        <v>1.5679861982040126E-2</v>
      </c>
      <c r="AK116" s="118"/>
      <c r="AL116" s="148">
        <v>44439</v>
      </c>
      <c r="AM116" s="149">
        <v>35.649949999999997</v>
      </c>
      <c r="AN116" s="156">
        <f t="shared" si="27"/>
        <v>-3.3157620311698604E-3</v>
      </c>
      <c r="AO116" s="9"/>
      <c r="AP116" s="150">
        <v>44439</v>
      </c>
      <c r="AQ116" s="159">
        <v>4522.6899999999996</v>
      </c>
      <c r="AR116" s="157">
        <f t="shared" si="28"/>
        <v>2.8992596569941114E-2</v>
      </c>
    </row>
    <row r="117" spans="1:44" ht="15.75" customHeight="1" x14ac:dyDescent="0.2">
      <c r="A117" s="118"/>
      <c r="B117" s="127">
        <v>44469</v>
      </c>
      <c r="C117" s="128">
        <v>8.4</v>
      </c>
      <c r="D117" s="153">
        <f t="shared" si="15"/>
        <v>-8.1350636653305403E-3</v>
      </c>
      <c r="E117" s="127">
        <v>44469</v>
      </c>
      <c r="F117" s="128">
        <v>5.98</v>
      </c>
      <c r="G117" s="153">
        <f t="shared" si="16"/>
        <v>-1.6582823213547304E-3</v>
      </c>
      <c r="H117" s="127">
        <v>44469</v>
      </c>
      <c r="I117" s="128">
        <v>28.130140000000001</v>
      </c>
      <c r="J117" s="153">
        <f t="shared" si="17"/>
        <v>-3.2313282629507806E-2</v>
      </c>
      <c r="K117" s="127">
        <v>44469</v>
      </c>
      <c r="L117" s="128">
        <v>55.03</v>
      </c>
      <c r="M117" s="154">
        <f t="shared" si="18"/>
        <v>-2.2036609205615815E-2</v>
      </c>
      <c r="N117" s="118"/>
      <c r="O117" s="118"/>
      <c r="P117" s="155">
        <f t="shared" si="19"/>
        <v>0.11588469277004991</v>
      </c>
      <c r="Q117" s="148">
        <v>44469</v>
      </c>
      <c r="R117" s="149">
        <v>58.039990000000003</v>
      </c>
      <c r="S117" s="155">
        <f t="shared" si="20"/>
        <v>7.8870182562190777E-2</v>
      </c>
      <c r="T117" s="148">
        <v>44469</v>
      </c>
      <c r="U117" s="149">
        <v>100.29089999999999</v>
      </c>
      <c r="V117" s="155">
        <f t="shared" si="21"/>
        <v>4.8362430556673448E-2</v>
      </c>
      <c r="W117" s="148">
        <v>44469</v>
      </c>
      <c r="X117" s="149">
        <v>67.365300000000005</v>
      </c>
      <c r="Y117" s="156">
        <f t="shared" si="22"/>
        <v>0.22042146519128547</v>
      </c>
      <c r="Z117" s="118"/>
      <c r="AA117" s="155">
        <f t="shared" si="23"/>
        <v>9.5544134629190394E-3</v>
      </c>
      <c r="AB117" s="148">
        <v>44469</v>
      </c>
      <c r="AC117" s="149">
        <v>84.23</v>
      </c>
      <c r="AD117" s="155">
        <f t="shared" si="24"/>
        <v>9.4635195893954999E-2</v>
      </c>
      <c r="AE117" s="148">
        <v>44469</v>
      </c>
      <c r="AF117" s="149">
        <v>53.98</v>
      </c>
      <c r="AG117" s="155">
        <f t="shared" si="25"/>
        <v>-6.6897147796024278E-2</v>
      </c>
      <c r="AH117" s="148">
        <v>44469</v>
      </c>
      <c r="AI117" s="149">
        <v>53.411250000000003</v>
      </c>
      <c r="AJ117" s="156">
        <f t="shared" si="26"/>
        <v>9.2519229082639598E-4</v>
      </c>
      <c r="AK117" s="118"/>
      <c r="AL117" s="148">
        <v>44469</v>
      </c>
      <c r="AM117" s="149">
        <v>32.03</v>
      </c>
      <c r="AN117" s="156">
        <f t="shared" si="27"/>
        <v>-0.10154151688852288</v>
      </c>
      <c r="AO117" s="9"/>
      <c r="AP117" s="150">
        <v>44469</v>
      </c>
      <c r="AQ117" s="160">
        <v>4307.54</v>
      </c>
      <c r="AR117" s="157">
        <f t="shared" si="28"/>
        <v>-4.7571246315798704E-2</v>
      </c>
    </row>
    <row r="118" spans="1:44" ht="15.75" customHeight="1" x14ac:dyDescent="0.2">
      <c r="A118" s="118"/>
      <c r="B118" s="127">
        <v>44498</v>
      </c>
      <c r="C118" s="128">
        <v>8.39</v>
      </c>
      <c r="D118" s="153">
        <f t="shared" si="15"/>
        <v>-1.190476190476165E-3</v>
      </c>
      <c r="E118" s="127">
        <v>44498</v>
      </c>
      <c r="F118" s="128">
        <v>5.94</v>
      </c>
      <c r="G118" s="153">
        <f t="shared" si="16"/>
        <v>-6.6889632107023462E-3</v>
      </c>
      <c r="H118" s="127">
        <v>44498</v>
      </c>
      <c r="I118" s="128">
        <v>28.3</v>
      </c>
      <c r="J118" s="153">
        <f t="shared" si="17"/>
        <v>6.0383631222596084E-3</v>
      </c>
      <c r="K118" s="127">
        <v>44498</v>
      </c>
      <c r="L118" s="128">
        <v>54.75</v>
      </c>
      <c r="M118" s="154">
        <f t="shared" si="18"/>
        <v>-5.088133745229895E-3</v>
      </c>
      <c r="N118" s="118"/>
      <c r="O118" s="118"/>
      <c r="P118" s="155">
        <f t="shared" si="19"/>
        <v>0.11011797391040297</v>
      </c>
      <c r="Q118" s="148">
        <v>44498</v>
      </c>
      <c r="R118" s="149">
        <v>63.61506</v>
      </c>
      <c r="S118" s="155">
        <f t="shared" si="20"/>
        <v>9.6055667824891014E-2</v>
      </c>
      <c r="T118" s="148">
        <v>44498</v>
      </c>
      <c r="U118" s="149">
        <v>113.1819</v>
      </c>
      <c r="V118" s="155">
        <f t="shared" si="21"/>
        <v>0.12853608851849974</v>
      </c>
      <c r="W118" s="148">
        <v>44498</v>
      </c>
      <c r="X118" s="149">
        <v>74.489999999999995</v>
      </c>
      <c r="Y118" s="156">
        <f t="shared" si="22"/>
        <v>0.1057621653878182</v>
      </c>
      <c r="Z118" s="118"/>
      <c r="AA118" s="155">
        <f t="shared" si="23"/>
        <v>7.903294436605994E-2</v>
      </c>
      <c r="AB118" s="148">
        <v>44498</v>
      </c>
      <c r="AC118" s="149">
        <v>80.040000000000006</v>
      </c>
      <c r="AD118" s="155">
        <f t="shared" si="24"/>
        <v>-4.9744746527365519E-2</v>
      </c>
      <c r="AE118" s="148">
        <v>44498</v>
      </c>
      <c r="AF118" s="149">
        <v>56.62</v>
      </c>
      <c r="AG118" s="155">
        <f t="shared" si="25"/>
        <v>4.8907002593553184E-2</v>
      </c>
      <c r="AH118" s="148">
        <v>44498</v>
      </c>
      <c r="AI118" s="149">
        <v>66.119739999999993</v>
      </c>
      <c r="AJ118" s="156">
        <f t="shared" si="26"/>
        <v>0.23793657703199214</v>
      </c>
      <c r="AK118" s="118"/>
      <c r="AL118" s="148">
        <v>44498</v>
      </c>
      <c r="AM118" s="149">
        <v>34.33</v>
      </c>
      <c r="AN118" s="156">
        <f t="shared" si="27"/>
        <v>7.1807680299718929E-2</v>
      </c>
      <c r="AO118" s="9"/>
      <c r="AP118" s="150">
        <v>44498</v>
      </c>
      <c r="AQ118" s="160">
        <v>4605.38</v>
      </c>
      <c r="AR118" s="157">
        <f t="shared" si="28"/>
        <v>6.9143873301234615E-2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A05A-0F8C-5148-9754-E566FB226988}">
  <dimension ref="A2:U96"/>
  <sheetViews>
    <sheetView topLeftCell="A47" workbookViewId="0">
      <selection activeCell="H50" sqref="H50"/>
    </sheetView>
  </sheetViews>
  <sheetFormatPr baseColWidth="10" defaultRowHeight="16" x14ac:dyDescent="0.2"/>
  <cols>
    <col min="1" max="1" width="13.6640625" style="65" customWidth="1"/>
    <col min="2" max="19" width="10.83203125" style="65"/>
    <col min="20" max="20" width="13" style="65" customWidth="1"/>
    <col min="21" max="16384" width="10.83203125" style="65"/>
  </cols>
  <sheetData>
    <row r="2" spans="1:21" x14ac:dyDescent="0.2">
      <c r="C2" s="81" t="s">
        <v>126</v>
      </c>
      <c r="D2" s="81"/>
      <c r="E2" s="81"/>
      <c r="F2" s="81"/>
    </row>
    <row r="3" spans="1:21" ht="17" thickBot="1" x14ac:dyDescent="0.25"/>
    <row r="4" spans="1:21" x14ac:dyDescent="0.2">
      <c r="A4" s="82"/>
      <c r="B4" s="82" t="s">
        <v>77</v>
      </c>
      <c r="C4" s="82" t="s">
        <v>76</v>
      </c>
      <c r="D4" s="82" t="s">
        <v>75</v>
      </c>
      <c r="E4" s="82" t="s">
        <v>74</v>
      </c>
      <c r="F4" s="82" t="s">
        <v>73</v>
      </c>
      <c r="G4" s="82" t="s">
        <v>72</v>
      </c>
      <c r="H4" s="82" t="s">
        <v>71</v>
      </c>
      <c r="I4" s="82" t="s">
        <v>70</v>
      </c>
      <c r="J4" s="82" t="s">
        <v>68</v>
      </c>
      <c r="K4" s="82" t="s">
        <v>67</v>
      </c>
      <c r="L4" s="82" t="s">
        <v>66</v>
      </c>
      <c r="M4" s="82" t="s">
        <v>65</v>
      </c>
      <c r="N4" s="82" t="s">
        <v>64</v>
      </c>
      <c r="O4" s="82" t="s">
        <v>62</v>
      </c>
      <c r="P4" s="82" t="s">
        <v>61</v>
      </c>
      <c r="Q4" s="82" t="s">
        <v>60</v>
      </c>
      <c r="R4" s="82" t="s">
        <v>59</v>
      </c>
      <c r="S4" s="82" t="s">
        <v>80</v>
      </c>
      <c r="T4" s="82" t="s">
        <v>79</v>
      </c>
      <c r="U4" s="82" t="s">
        <v>47</v>
      </c>
    </row>
    <row r="5" spans="1:21" ht="17" thickBot="1" x14ac:dyDescent="0.25">
      <c r="A5" s="83" t="s">
        <v>77</v>
      </c>
      <c r="B5" s="84">
        <f>VARP('Return Data'!$B$2:$B$37)</f>
        <v>2.9399624976215763E-3</v>
      </c>
      <c r="C5" s="83">
        <v>3.1943054536211915E-3</v>
      </c>
      <c r="D5" s="83">
        <v>3.4911358095749251E-3</v>
      </c>
      <c r="E5" s="83">
        <v>3.1555452462786347E-3</v>
      </c>
      <c r="F5" s="83">
        <v>3.1875849892422222E-3</v>
      </c>
      <c r="G5" s="83">
        <v>2.6208998775044232E-3</v>
      </c>
      <c r="H5" s="83">
        <v>3.6342007452872934E-3</v>
      </c>
      <c r="I5" s="83">
        <v>2.0939282072804603E-3</v>
      </c>
      <c r="J5" s="83">
        <v>2.4279422770278006E-3</v>
      </c>
      <c r="K5" s="83">
        <v>2.2414981350488829E-3</v>
      </c>
      <c r="L5" s="83">
        <v>2.1455709506723211E-3</v>
      </c>
      <c r="M5" s="83">
        <v>2.6076799994327543E-3</v>
      </c>
      <c r="N5" s="83">
        <v>2.5752127175366511E-3</v>
      </c>
      <c r="O5" s="83">
        <v>1.3825681789861246E-4</v>
      </c>
      <c r="P5" s="83">
        <v>1.0122278791318299E-3</v>
      </c>
      <c r="Q5" s="83">
        <v>1.0206452624301422E-3</v>
      </c>
      <c r="R5" s="83">
        <v>1.4823790914393507E-3</v>
      </c>
      <c r="S5" s="83">
        <v>4.4318828943669779E-3</v>
      </c>
      <c r="T5" s="83">
        <v>5.1183607033267161E-3</v>
      </c>
      <c r="U5" s="85">
        <v>4.2928635889086589E-3</v>
      </c>
    </row>
    <row r="6" spans="1:21" ht="17" thickBot="1" x14ac:dyDescent="0.25">
      <c r="A6" s="83" t="s">
        <v>76</v>
      </c>
      <c r="B6" s="83">
        <v>3.1943054536211915E-3</v>
      </c>
      <c r="C6" s="84">
        <f>VARP('Return Data'!$C$2:$C$37)</f>
        <v>3.6318278281867191E-3</v>
      </c>
      <c r="D6" s="83">
        <v>3.9935895564713522E-3</v>
      </c>
      <c r="E6" s="83">
        <v>3.335883650844639E-3</v>
      </c>
      <c r="F6" s="83">
        <v>3.5812369159919535E-3</v>
      </c>
      <c r="G6" s="83">
        <v>2.9107982995137164E-3</v>
      </c>
      <c r="H6" s="83">
        <v>3.904454244649381E-3</v>
      </c>
      <c r="I6" s="83">
        <v>2.2270112118657789E-3</v>
      </c>
      <c r="J6" s="83">
        <v>2.6952811478294352E-3</v>
      </c>
      <c r="K6" s="83">
        <v>2.5716988571350807E-3</v>
      </c>
      <c r="L6" s="83">
        <v>2.346355777390069E-3</v>
      </c>
      <c r="M6" s="83">
        <v>2.9087764727883615E-3</v>
      </c>
      <c r="N6" s="83">
        <v>2.9140592542009169E-3</v>
      </c>
      <c r="O6" s="83">
        <v>1.7958648495854871E-4</v>
      </c>
      <c r="P6" s="83">
        <v>1.2039866581029953E-3</v>
      </c>
      <c r="Q6" s="83">
        <v>1.1544698122096712E-3</v>
      </c>
      <c r="R6" s="83">
        <v>1.687280990732643E-3</v>
      </c>
      <c r="S6" s="83">
        <v>5.1379556412172039E-3</v>
      </c>
      <c r="T6" s="83">
        <v>5.7579985169910258E-3</v>
      </c>
      <c r="U6" s="85">
        <v>4.8827945642888589E-3</v>
      </c>
    </row>
    <row r="7" spans="1:21" ht="17" thickBot="1" x14ac:dyDescent="0.25">
      <c r="A7" s="83" t="s">
        <v>75</v>
      </c>
      <c r="B7" s="83">
        <v>3.4911358095749251E-3</v>
      </c>
      <c r="C7" s="83">
        <v>3.9935895564713522E-3</v>
      </c>
      <c r="D7" s="84">
        <f>VARP('Return Data'!$D$2:$D$37)</f>
        <v>4.5712912041010285E-3</v>
      </c>
      <c r="E7" s="83">
        <v>3.618205741109431E-3</v>
      </c>
      <c r="F7" s="83">
        <v>4.069158729221734E-3</v>
      </c>
      <c r="G7" s="83">
        <v>3.1988760527241855E-3</v>
      </c>
      <c r="H7" s="83">
        <v>4.2852363511206235E-3</v>
      </c>
      <c r="I7" s="83">
        <v>2.3916537914311555E-3</v>
      </c>
      <c r="J7" s="83">
        <v>3.0277632934509347E-3</v>
      </c>
      <c r="K7" s="83">
        <v>2.9924153578538507E-3</v>
      </c>
      <c r="L7" s="83">
        <v>2.5502879141896789E-3</v>
      </c>
      <c r="M7" s="83">
        <v>3.3599946748590786E-3</v>
      </c>
      <c r="N7" s="83">
        <v>3.321312820744451E-3</v>
      </c>
      <c r="O7" s="83">
        <v>1.5928697626050822E-4</v>
      </c>
      <c r="P7" s="83">
        <v>1.3473567071979795E-3</v>
      </c>
      <c r="Q7" s="83">
        <v>1.2581500358320851E-3</v>
      </c>
      <c r="R7" s="83">
        <v>1.9039491915010577E-3</v>
      </c>
      <c r="S7" s="83">
        <v>5.9372775766873102E-3</v>
      </c>
      <c r="T7" s="83">
        <v>6.4188252479181439E-3</v>
      </c>
      <c r="U7" s="85">
        <v>5.4274783913927614E-3</v>
      </c>
    </row>
    <row r="8" spans="1:21" ht="17" thickBot="1" x14ac:dyDescent="0.25">
      <c r="A8" s="83" t="s">
        <v>74</v>
      </c>
      <c r="B8" s="83">
        <v>3.1555452462786347E-3</v>
      </c>
      <c r="C8" s="83">
        <v>3.335883650844639E-3</v>
      </c>
      <c r="D8" s="83">
        <v>3.618205741109431E-3</v>
      </c>
      <c r="E8" s="84">
        <f>VARP('Return Data'!$E$2:$E$37)</f>
        <v>4.1916947140145247E-3</v>
      </c>
      <c r="F8" s="83">
        <v>3.008052539614356E-3</v>
      </c>
      <c r="G8" s="83">
        <v>2.473268600885497E-3</v>
      </c>
      <c r="H8" s="83">
        <v>4.1090248803773381E-3</v>
      </c>
      <c r="I8" s="83">
        <v>2.1852516256199643E-3</v>
      </c>
      <c r="J8" s="83">
        <v>2.436116964801149E-3</v>
      </c>
      <c r="K8" s="83">
        <v>2.3388713730275439E-3</v>
      </c>
      <c r="L8" s="83">
        <v>2.3019948358939447E-3</v>
      </c>
      <c r="M8" s="83">
        <v>2.396612418016952E-3</v>
      </c>
      <c r="N8" s="83">
        <v>2.4524460595077833E-3</v>
      </c>
      <c r="O8" s="83">
        <v>2.4752974436896493E-4</v>
      </c>
      <c r="P8" s="83">
        <v>1.0813502743106202E-3</v>
      </c>
      <c r="Q8" s="83">
        <v>1.1227455366336217E-3</v>
      </c>
      <c r="R8" s="83">
        <v>1.6015823709809422E-3</v>
      </c>
      <c r="S8" s="83">
        <v>4.0643607150183158E-3</v>
      </c>
      <c r="T8" s="83">
        <v>5.3174491785164899E-3</v>
      </c>
      <c r="U8" s="85">
        <v>4.4823619150066987E-3</v>
      </c>
    </row>
    <row r="9" spans="1:21" ht="17" thickBot="1" x14ac:dyDescent="0.25">
      <c r="A9" s="83" t="s">
        <v>73</v>
      </c>
      <c r="B9" s="83">
        <v>3.1875849892422222E-3</v>
      </c>
      <c r="C9" s="83">
        <v>3.5812369159919535E-3</v>
      </c>
      <c r="D9" s="83">
        <v>4.069158729221734E-3</v>
      </c>
      <c r="E9" s="83">
        <v>3.008052539614356E-3</v>
      </c>
      <c r="F9" s="84">
        <f>VARP('Return Data'!$F$2:$F$37)</f>
        <v>4.1110390828269653E-3</v>
      </c>
      <c r="G9" s="83">
        <v>3.1420521513674466E-3</v>
      </c>
      <c r="H9" s="83">
        <v>3.7790804133454028E-3</v>
      </c>
      <c r="I9" s="83">
        <v>2.1679851158041088E-3</v>
      </c>
      <c r="J9" s="83">
        <v>2.8957320107562828E-3</v>
      </c>
      <c r="K9" s="83">
        <v>2.6204172455831353E-3</v>
      </c>
      <c r="L9" s="83">
        <v>2.3583601051988682E-3</v>
      </c>
      <c r="M9" s="83">
        <v>3.4078049702898124E-3</v>
      </c>
      <c r="N9" s="83">
        <v>3.2069842084756356E-3</v>
      </c>
      <c r="O9" s="83">
        <v>4.1978065215209132E-5</v>
      </c>
      <c r="P9" s="83">
        <v>1.1280128567339135E-3</v>
      </c>
      <c r="Q9" s="83">
        <v>1.0231525660819888E-3</v>
      </c>
      <c r="R9" s="83">
        <v>1.6319279680733676E-3</v>
      </c>
      <c r="S9" s="83">
        <v>5.73410390247572E-3</v>
      </c>
      <c r="T9" s="83">
        <v>5.6618642442415549E-3</v>
      </c>
      <c r="U9" s="85">
        <v>4.6706587560638221E-3</v>
      </c>
    </row>
    <row r="10" spans="1:21" ht="17" thickBot="1" x14ac:dyDescent="0.25">
      <c r="A10" s="83" t="s">
        <v>72</v>
      </c>
      <c r="B10" s="83">
        <v>2.6208998775044232E-3</v>
      </c>
      <c r="C10" s="83">
        <v>2.9107982995137164E-3</v>
      </c>
      <c r="D10" s="83">
        <v>3.1988760527241855E-3</v>
      </c>
      <c r="E10" s="83">
        <v>2.473268600885497E-3</v>
      </c>
      <c r="F10" s="83">
        <v>3.1420521513674466E-3</v>
      </c>
      <c r="G10" s="84">
        <f>VARP('Return Data'!$G$2:$G$37)</f>
        <v>2.6015568163807561E-3</v>
      </c>
      <c r="H10" s="83">
        <v>3.0881274754866088E-3</v>
      </c>
      <c r="I10" s="83">
        <v>1.8633539702068466E-3</v>
      </c>
      <c r="J10" s="83">
        <v>2.3002388399368415E-3</v>
      </c>
      <c r="K10" s="83">
        <v>2.0211091556948209E-3</v>
      </c>
      <c r="L10" s="83">
        <v>1.9427106755745297E-3</v>
      </c>
      <c r="M10" s="83">
        <v>2.6082964209078042E-3</v>
      </c>
      <c r="N10" s="83">
        <v>2.5196427067662058E-3</v>
      </c>
      <c r="O10" s="83">
        <v>4.9799990072064611E-5</v>
      </c>
      <c r="P10" s="83">
        <v>8.738386744973712E-4</v>
      </c>
      <c r="Q10" s="83">
        <v>8.4259932962266323E-4</v>
      </c>
      <c r="R10" s="83">
        <v>1.2934570901579352E-3</v>
      </c>
      <c r="S10" s="83">
        <v>4.518056089754534E-3</v>
      </c>
      <c r="T10" s="83">
        <v>4.4830848611345769E-3</v>
      </c>
      <c r="U10" s="85">
        <v>3.7455172725291814E-3</v>
      </c>
    </row>
    <row r="11" spans="1:21" ht="17" thickBot="1" x14ac:dyDescent="0.25">
      <c r="A11" s="83" t="s">
        <v>71</v>
      </c>
      <c r="B11" s="83">
        <v>3.6342007452872934E-3</v>
      </c>
      <c r="C11" s="83">
        <v>3.904454244649381E-3</v>
      </c>
      <c r="D11" s="83">
        <v>4.2852363511206235E-3</v>
      </c>
      <c r="E11" s="83">
        <v>4.1090248803773381E-3</v>
      </c>
      <c r="F11" s="83">
        <v>3.7790804133454028E-3</v>
      </c>
      <c r="G11" s="83">
        <v>3.0881274754866088E-3</v>
      </c>
      <c r="H11" s="84">
        <f>VARP('Return Data'!$H$2:$H$37)</f>
        <v>4.9105820002651084E-3</v>
      </c>
      <c r="I11" s="83">
        <v>2.554729144080873E-3</v>
      </c>
      <c r="J11" s="83">
        <v>2.9089447162038966E-3</v>
      </c>
      <c r="K11" s="83">
        <v>2.8810665163241868E-3</v>
      </c>
      <c r="L11" s="83">
        <v>2.5849454116184684E-3</v>
      </c>
      <c r="M11" s="83">
        <v>3.0503550304227488E-3</v>
      </c>
      <c r="N11" s="83">
        <v>3.0870806540501238E-3</v>
      </c>
      <c r="O11" s="83">
        <v>2.4201657510615165E-4</v>
      </c>
      <c r="P11" s="83">
        <v>1.2906711698504258E-3</v>
      </c>
      <c r="Q11" s="83">
        <v>1.3664019833554827E-3</v>
      </c>
      <c r="R11" s="83">
        <v>1.9463692099642646E-3</v>
      </c>
      <c r="S11" s="83">
        <v>5.3891645960234894E-3</v>
      </c>
      <c r="T11" s="83">
        <v>6.9236004988307894E-3</v>
      </c>
      <c r="U11" s="85">
        <v>5.4814209296076182E-3</v>
      </c>
    </row>
    <row r="12" spans="1:21" ht="17" thickBot="1" x14ac:dyDescent="0.25">
      <c r="A12" s="83" t="s">
        <v>70</v>
      </c>
      <c r="B12" s="83">
        <v>2.0939282072804603E-3</v>
      </c>
      <c r="C12" s="83">
        <v>2.2270112118657789E-3</v>
      </c>
      <c r="D12" s="83">
        <v>2.3916537914311555E-3</v>
      </c>
      <c r="E12" s="83">
        <v>2.1852516256199643E-3</v>
      </c>
      <c r="F12" s="83">
        <v>2.1679851158041088E-3</v>
      </c>
      <c r="G12" s="83">
        <v>1.8633539702068466E-3</v>
      </c>
      <c r="H12" s="83">
        <v>2.554729144080873E-3</v>
      </c>
      <c r="I12" s="84">
        <f>VARP('Return Data'!$I$2:$I$37)</f>
        <v>2.0878752932488643E-3</v>
      </c>
      <c r="J12" s="83">
        <v>1.6307201536911536E-3</v>
      </c>
      <c r="K12" s="83">
        <v>1.5589227493292414E-3</v>
      </c>
      <c r="L12" s="83">
        <v>1.5516321307279867E-3</v>
      </c>
      <c r="M12" s="83">
        <v>1.6533795328846368E-3</v>
      </c>
      <c r="N12" s="83">
        <v>1.6574059842511093E-3</v>
      </c>
      <c r="O12" s="83">
        <v>1.261412043431428E-4</v>
      </c>
      <c r="P12" s="83">
        <v>6.436971081028068E-4</v>
      </c>
      <c r="Q12" s="83">
        <v>7.2322485919192221E-4</v>
      </c>
      <c r="R12" s="83">
        <v>9.7262071754008605E-4</v>
      </c>
      <c r="S12" s="83">
        <v>2.9534952963172628E-3</v>
      </c>
      <c r="T12" s="83">
        <v>3.4929265653791744E-3</v>
      </c>
      <c r="U12" s="85">
        <v>2.3510143005570756E-3</v>
      </c>
    </row>
    <row r="13" spans="1:21" ht="17" thickBot="1" x14ac:dyDescent="0.25">
      <c r="A13" s="83" t="s">
        <v>68</v>
      </c>
      <c r="B13" s="83">
        <v>2.4279422770278006E-3</v>
      </c>
      <c r="C13" s="83">
        <v>2.6952811478294352E-3</v>
      </c>
      <c r="D13" s="83">
        <v>3.0277632934509347E-3</v>
      </c>
      <c r="E13" s="83">
        <v>2.436116964801149E-3</v>
      </c>
      <c r="F13" s="83">
        <v>2.8957320107562828E-3</v>
      </c>
      <c r="G13" s="83">
        <v>2.3002388399368415E-3</v>
      </c>
      <c r="H13" s="83">
        <v>2.9089447162038966E-3</v>
      </c>
      <c r="I13" s="83">
        <v>1.6307201536911536E-3</v>
      </c>
      <c r="J13" s="84">
        <f>VARP('Return Data'!$J$2:$J$37)</f>
        <v>2.3559538948129096E-3</v>
      </c>
      <c r="K13" s="83">
        <v>2.1061415958530086E-3</v>
      </c>
      <c r="L13" s="83">
        <v>1.9913753455747798E-3</v>
      </c>
      <c r="M13" s="83">
        <v>2.639849263752019E-3</v>
      </c>
      <c r="N13" s="83">
        <v>2.5632234846595155E-3</v>
      </c>
      <c r="O13" s="83">
        <v>1.1256378747298679E-4</v>
      </c>
      <c r="P13" s="83">
        <v>8.9100753943807383E-4</v>
      </c>
      <c r="Q13" s="83">
        <v>9.4755468565603117E-4</v>
      </c>
      <c r="R13" s="83">
        <v>1.4140792668534152E-3</v>
      </c>
      <c r="S13" s="83">
        <v>3.9900410496317368E-3</v>
      </c>
      <c r="T13" s="83">
        <v>4.2915312447960761E-3</v>
      </c>
      <c r="U13" s="85">
        <v>4.1292940740689232E-3</v>
      </c>
    </row>
    <row r="14" spans="1:21" ht="17" thickBot="1" x14ac:dyDescent="0.25">
      <c r="A14" s="83" t="s">
        <v>67</v>
      </c>
      <c r="B14" s="83">
        <v>2.2414981350488829E-3</v>
      </c>
      <c r="C14" s="83">
        <v>2.5716988571350807E-3</v>
      </c>
      <c r="D14" s="83">
        <v>2.9924153578538507E-3</v>
      </c>
      <c r="E14" s="83">
        <v>2.3388713730275439E-3</v>
      </c>
      <c r="F14" s="83">
        <v>2.6204172455831353E-3</v>
      </c>
      <c r="G14" s="83">
        <v>2.0211091556948209E-3</v>
      </c>
      <c r="H14" s="83">
        <v>2.8810665163241868E-3</v>
      </c>
      <c r="I14" s="83">
        <v>1.5589227493292414E-3</v>
      </c>
      <c r="J14" s="83">
        <v>2.1061415958530086E-3</v>
      </c>
      <c r="K14" s="84">
        <f>VARP('Return Data'!$K$2:$K$37)</f>
        <v>2.6476861754915165E-3</v>
      </c>
      <c r="L14" s="83">
        <v>1.7491994811157058E-3</v>
      </c>
      <c r="M14" s="83">
        <v>2.2662498204296319E-3</v>
      </c>
      <c r="N14" s="83">
        <v>2.4062000520729885E-3</v>
      </c>
      <c r="O14" s="83">
        <v>1.5832474975327918E-4</v>
      </c>
      <c r="P14" s="83">
        <v>9.8477428224984058E-4</v>
      </c>
      <c r="Q14" s="83">
        <v>1.0345429096576214E-3</v>
      </c>
      <c r="R14" s="83">
        <v>1.4821923331124125E-3</v>
      </c>
      <c r="S14" s="83">
        <v>3.5428836948018416E-3</v>
      </c>
      <c r="T14" s="83">
        <v>4.9869611919929118E-3</v>
      </c>
      <c r="U14" s="85">
        <v>3.6606603123301418E-3</v>
      </c>
    </row>
    <row r="15" spans="1:21" ht="17" thickBot="1" x14ac:dyDescent="0.25">
      <c r="A15" s="83" t="s">
        <v>66</v>
      </c>
      <c r="B15" s="83">
        <v>2.1455709506723211E-3</v>
      </c>
      <c r="C15" s="83">
        <v>2.346355777390069E-3</v>
      </c>
      <c r="D15" s="83">
        <v>2.5502879141896789E-3</v>
      </c>
      <c r="E15" s="83">
        <v>2.3019948358939447E-3</v>
      </c>
      <c r="F15" s="83">
        <v>2.3583601051988682E-3</v>
      </c>
      <c r="G15" s="83">
        <v>1.9427106755745297E-3</v>
      </c>
      <c r="H15" s="83">
        <v>2.5849454116184684E-3</v>
      </c>
      <c r="I15" s="83">
        <v>1.5516321307279867E-3</v>
      </c>
      <c r="J15" s="83">
        <v>1.9913753455747798E-3</v>
      </c>
      <c r="K15" s="83">
        <v>1.7491994811157058E-3</v>
      </c>
      <c r="L15" s="84">
        <f>VARP('Return Data'!$L$2:$L$37)</f>
        <v>1.8001480928398299E-3</v>
      </c>
      <c r="M15" s="83">
        <v>2.0997194203984811E-3</v>
      </c>
      <c r="N15" s="83">
        <v>2.0834926388630403E-3</v>
      </c>
      <c r="O15" s="83">
        <v>1.4343272264980399E-4</v>
      </c>
      <c r="P15" s="83">
        <v>7.6866497089291615E-4</v>
      </c>
      <c r="Q15" s="83">
        <v>8.6689372169597217E-4</v>
      </c>
      <c r="R15" s="83">
        <v>1.2182830542575053E-3</v>
      </c>
      <c r="S15" s="83">
        <v>3.0297884521556279E-3</v>
      </c>
      <c r="T15" s="83">
        <v>3.6271833790863916E-3</v>
      </c>
      <c r="U15" s="85">
        <v>3.434161646221279E-3</v>
      </c>
    </row>
    <row r="16" spans="1:21" ht="17" thickBot="1" x14ac:dyDescent="0.25">
      <c r="A16" s="83" t="s">
        <v>65</v>
      </c>
      <c r="B16" s="83">
        <v>2.6076799994327543E-3</v>
      </c>
      <c r="C16" s="83">
        <v>2.9087764727883615E-3</v>
      </c>
      <c r="D16" s="83">
        <v>3.3599946748590786E-3</v>
      </c>
      <c r="E16" s="83">
        <v>2.396612418016952E-3</v>
      </c>
      <c r="F16" s="83">
        <v>3.4078049702898124E-3</v>
      </c>
      <c r="G16" s="83">
        <v>2.6082964209078042E-3</v>
      </c>
      <c r="H16" s="83">
        <v>3.0503550304227488E-3</v>
      </c>
      <c r="I16" s="83">
        <v>1.6533795328846368E-3</v>
      </c>
      <c r="J16" s="83">
        <v>2.639849263752019E-3</v>
      </c>
      <c r="K16" s="83">
        <v>2.2662498204296319E-3</v>
      </c>
      <c r="L16" s="83">
        <v>2.0997194203984811E-3</v>
      </c>
      <c r="M16" s="84">
        <f>VARP('Return Data'!$M$2:$M$37)</f>
        <v>3.1903795808374828E-3</v>
      </c>
      <c r="N16" s="83">
        <v>2.9416991066756356E-3</v>
      </c>
      <c r="O16" s="83">
        <v>3.6290533589028763E-5</v>
      </c>
      <c r="P16" s="83">
        <v>9.3115796777134391E-4</v>
      </c>
      <c r="Q16" s="83">
        <v>8.9835855731476447E-4</v>
      </c>
      <c r="R16" s="83">
        <v>1.4697948478379613E-3</v>
      </c>
      <c r="S16" s="83">
        <v>5.0057052927818214E-3</v>
      </c>
      <c r="T16" s="83">
        <v>4.5386474111812434E-3</v>
      </c>
      <c r="U16" s="85">
        <v>4.5292793056069371E-3</v>
      </c>
    </row>
    <row r="17" spans="1:21" ht="17" thickBot="1" x14ac:dyDescent="0.25">
      <c r="A17" s="83" t="s">
        <v>64</v>
      </c>
      <c r="B17" s="83">
        <v>2.5752127175366511E-3</v>
      </c>
      <c r="C17" s="83">
        <v>2.9140592542009169E-3</v>
      </c>
      <c r="D17" s="83">
        <v>3.321312820744451E-3</v>
      </c>
      <c r="E17" s="83">
        <v>2.4524460595077833E-3</v>
      </c>
      <c r="F17" s="83">
        <v>3.2069842084756356E-3</v>
      </c>
      <c r="G17" s="83">
        <v>2.5196427067662058E-3</v>
      </c>
      <c r="H17" s="83">
        <v>3.0870806540501238E-3</v>
      </c>
      <c r="I17" s="83">
        <v>1.6574059842511093E-3</v>
      </c>
      <c r="J17" s="83">
        <v>2.5632234846595155E-3</v>
      </c>
      <c r="K17" s="83">
        <v>2.4062000520729885E-3</v>
      </c>
      <c r="L17" s="83">
        <v>2.0834926388630403E-3</v>
      </c>
      <c r="M17" s="83">
        <v>2.9416991066756356E-3</v>
      </c>
      <c r="N17" s="84">
        <f>VARP('Return Data'!$N$2:$N$37)</f>
        <v>2.8949381562934826E-3</v>
      </c>
      <c r="O17" s="83">
        <v>1.0665243867816401E-4</v>
      </c>
      <c r="P17" s="83">
        <v>9.9595066433699145E-4</v>
      </c>
      <c r="Q17" s="83">
        <v>1.040337136977129E-3</v>
      </c>
      <c r="R17" s="83">
        <v>1.5864293710604346E-3</v>
      </c>
      <c r="S17" s="83">
        <v>4.6503929903905245E-3</v>
      </c>
      <c r="T17" s="83">
        <v>4.8894944113875892E-3</v>
      </c>
      <c r="U17" s="85">
        <v>4.5437333296936035E-3</v>
      </c>
    </row>
    <row r="18" spans="1:21" ht="17" thickBot="1" x14ac:dyDescent="0.25">
      <c r="A18" s="83" t="s">
        <v>62</v>
      </c>
      <c r="B18" s="83">
        <v>1.3825681789861246E-4</v>
      </c>
      <c r="C18" s="83">
        <v>1.7958648495854871E-4</v>
      </c>
      <c r="D18" s="83">
        <v>1.5928697626050822E-4</v>
      </c>
      <c r="E18" s="83">
        <v>2.4752974436896493E-4</v>
      </c>
      <c r="F18" s="83">
        <v>4.1978065215209132E-5</v>
      </c>
      <c r="G18" s="83">
        <v>4.9799990072064611E-5</v>
      </c>
      <c r="H18" s="83">
        <v>2.4201657510615165E-4</v>
      </c>
      <c r="I18" s="83">
        <v>1.261412043431428E-4</v>
      </c>
      <c r="J18" s="83">
        <v>1.1256378747298679E-4</v>
      </c>
      <c r="K18" s="83">
        <v>1.5832474975327918E-4</v>
      </c>
      <c r="L18" s="83">
        <v>1.4343272264980399E-4</v>
      </c>
      <c r="M18" s="83">
        <v>3.6290533589028763E-5</v>
      </c>
      <c r="N18" s="83">
        <v>1.0665243867816401E-4</v>
      </c>
      <c r="O18" s="84">
        <f>VARP('Return Data'!$O$2:$O$37)</f>
        <v>1.1776948806011433E-4</v>
      </c>
      <c r="P18" s="83">
        <v>1.3052667287602167E-4</v>
      </c>
      <c r="Q18" s="83">
        <v>1.8753706773148987E-4</v>
      </c>
      <c r="R18" s="83">
        <v>1.8974179196012909E-4</v>
      </c>
      <c r="S18" s="83">
        <v>7.0134878825526677E-5</v>
      </c>
      <c r="T18" s="83">
        <v>4.8701636541276596E-4</v>
      </c>
      <c r="U18" s="85">
        <v>5.2770319391458266E-4</v>
      </c>
    </row>
    <row r="19" spans="1:21" ht="17" thickBot="1" x14ac:dyDescent="0.25">
      <c r="A19" s="83" t="s">
        <v>61</v>
      </c>
      <c r="B19" s="83">
        <v>1.0122278791318299E-3</v>
      </c>
      <c r="C19" s="83">
        <v>1.2039866581029953E-3</v>
      </c>
      <c r="D19" s="83">
        <v>1.3473567071979795E-3</v>
      </c>
      <c r="E19" s="83">
        <v>1.0813502743106202E-3</v>
      </c>
      <c r="F19" s="83">
        <v>1.1280128567339135E-3</v>
      </c>
      <c r="G19" s="83">
        <v>8.738386744973712E-4</v>
      </c>
      <c r="H19" s="83">
        <v>1.2906711698504258E-3</v>
      </c>
      <c r="I19" s="83">
        <v>6.436971081028068E-4</v>
      </c>
      <c r="J19" s="83">
        <v>8.9100753943807383E-4</v>
      </c>
      <c r="K19" s="83">
        <v>9.8477428224984058E-4</v>
      </c>
      <c r="L19" s="83">
        <v>7.6866497089291615E-4</v>
      </c>
      <c r="M19" s="83">
        <v>9.3115796777134391E-4</v>
      </c>
      <c r="N19" s="83">
        <v>9.9595066433699145E-4</v>
      </c>
      <c r="O19" s="83">
        <v>1.3052667287602167E-4</v>
      </c>
      <c r="P19" s="84">
        <f>VARP('Return Data'!$P$2:$P$37)</f>
        <v>5.5450883791560875E-4</v>
      </c>
      <c r="Q19" s="83">
        <v>5.0194536639370623E-4</v>
      </c>
      <c r="R19" s="83">
        <v>7.086466613018792E-4</v>
      </c>
      <c r="S19" s="83">
        <v>1.4664902660541908E-3</v>
      </c>
      <c r="T19" s="83">
        <v>2.2500275856523729E-3</v>
      </c>
      <c r="U19" s="85">
        <v>1.7354336223591844E-3</v>
      </c>
    </row>
    <row r="20" spans="1:21" ht="17" thickBot="1" x14ac:dyDescent="0.25">
      <c r="A20" s="83" t="s">
        <v>60</v>
      </c>
      <c r="B20" s="83">
        <v>1.0206452624301422E-3</v>
      </c>
      <c r="C20" s="83">
        <v>1.1544698122096712E-3</v>
      </c>
      <c r="D20" s="83">
        <v>1.2581500358320851E-3</v>
      </c>
      <c r="E20" s="83">
        <v>1.1227455366336217E-3</v>
      </c>
      <c r="F20" s="83">
        <v>1.0231525660819888E-3</v>
      </c>
      <c r="G20" s="83">
        <v>8.4259932962266323E-4</v>
      </c>
      <c r="H20" s="83">
        <v>1.3664019833554827E-3</v>
      </c>
      <c r="I20" s="83">
        <v>7.2322485919192221E-4</v>
      </c>
      <c r="J20" s="83">
        <v>9.4755468565603117E-4</v>
      </c>
      <c r="K20" s="83">
        <v>1.0345429096576214E-3</v>
      </c>
      <c r="L20" s="83">
        <v>8.6689372169597217E-4</v>
      </c>
      <c r="M20" s="83">
        <v>8.9835855731476447E-4</v>
      </c>
      <c r="N20" s="83">
        <v>1.040337136977129E-3</v>
      </c>
      <c r="O20" s="83">
        <v>1.8753706773148987E-4</v>
      </c>
      <c r="P20" s="83">
        <v>5.0194536639370623E-4</v>
      </c>
      <c r="Q20" s="84">
        <f>VARP('Return Data'!$Q$2:$Q$37)</f>
        <v>7.0953977763756385E-4</v>
      </c>
      <c r="R20" s="83">
        <v>8.7159192984254911E-4</v>
      </c>
      <c r="S20" s="83">
        <v>1.2716808505209237E-3</v>
      </c>
      <c r="T20" s="83">
        <v>2.4993777672531114E-3</v>
      </c>
      <c r="U20" s="85">
        <v>2.015388306947427E-3</v>
      </c>
    </row>
    <row r="21" spans="1:21" ht="17" thickBot="1" x14ac:dyDescent="0.25">
      <c r="A21" s="83" t="s">
        <v>59</v>
      </c>
      <c r="B21" s="83">
        <v>1.4823790914393507E-3</v>
      </c>
      <c r="C21" s="83">
        <v>1.687280990732643E-3</v>
      </c>
      <c r="D21" s="83">
        <v>1.9039491915010577E-3</v>
      </c>
      <c r="E21" s="83">
        <v>1.6015823709809422E-3</v>
      </c>
      <c r="F21" s="83">
        <v>1.6319279680733676E-3</v>
      </c>
      <c r="G21" s="83">
        <v>1.2934570901579352E-3</v>
      </c>
      <c r="H21" s="83">
        <v>1.9463692099642646E-3</v>
      </c>
      <c r="I21" s="83">
        <v>9.7262071754008605E-4</v>
      </c>
      <c r="J21" s="83">
        <v>1.4140792668534152E-3</v>
      </c>
      <c r="K21" s="83">
        <v>1.4821923331124125E-3</v>
      </c>
      <c r="L21" s="83">
        <v>1.2182830542575053E-3</v>
      </c>
      <c r="M21" s="83">
        <v>1.4697948478379613E-3</v>
      </c>
      <c r="N21" s="83">
        <v>1.5864293710604346E-3</v>
      </c>
      <c r="O21" s="83">
        <v>1.8974179196012909E-4</v>
      </c>
      <c r="P21" s="83">
        <v>7.086466613018792E-4</v>
      </c>
      <c r="Q21" s="83">
        <v>8.7159192984254911E-4</v>
      </c>
      <c r="R21" s="84">
        <f>VARP('Return Data'!$R$2:$R$37)</f>
        <v>1.2153603352074069E-3</v>
      </c>
      <c r="S21" s="83">
        <v>2.3159070848420274E-3</v>
      </c>
      <c r="T21" s="83">
        <v>3.4615903233569025E-3</v>
      </c>
      <c r="U21" s="85">
        <v>2.7223088736786139E-3</v>
      </c>
    </row>
    <row r="22" spans="1:21" ht="17" thickBot="1" x14ac:dyDescent="0.25">
      <c r="A22" s="83" t="s">
        <v>80</v>
      </c>
      <c r="B22" s="83">
        <v>4.4318828943669779E-3</v>
      </c>
      <c r="C22" s="83">
        <v>5.1379556412172039E-3</v>
      </c>
      <c r="D22" s="83">
        <v>5.9372775766873102E-3</v>
      </c>
      <c r="E22" s="83">
        <v>4.0643607150183158E-3</v>
      </c>
      <c r="F22" s="83">
        <v>5.73410390247572E-3</v>
      </c>
      <c r="G22" s="83">
        <v>4.518056089754534E-3</v>
      </c>
      <c r="H22" s="83">
        <v>5.3891645960234894E-3</v>
      </c>
      <c r="I22" s="83">
        <v>2.9534952963172628E-3</v>
      </c>
      <c r="J22" s="83">
        <v>3.9900410496317368E-3</v>
      </c>
      <c r="K22" s="83">
        <v>3.5428836948018416E-3</v>
      </c>
      <c r="L22" s="83">
        <v>3.0297884521556279E-3</v>
      </c>
      <c r="M22" s="83">
        <v>5.0057052927818214E-3</v>
      </c>
      <c r="N22" s="83">
        <v>4.6503929903905245E-3</v>
      </c>
      <c r="O22" s="83">
        <v>7.0134878825526677E-5</v>
      </c>
      <c r="P22" s="83">
        <v>1.4664902660541908E-3</v>
      </c>
      <c r="Q22" s="83">
        <v>1.2716808505209237E-3</v>
      </c>
      <c r="R22" s="83">
        <v>2.3159070848420274E-3</v>
      </c>
      <c r="S22" s="84">
        <f>VARP('Return Data'!$S$2:$S$37)</f>
        <v>1.2284791461630109E-2</v>
      </c>
      <c r="T22" s="83">
        <v>8.1818416874475594E-3</v>
      </c>
      <c r="U22" s="85">
        <v>6.9069887902750877E-3</v>
      </c>
    </row>
    <row r="23" spans="1:21" ht="17" thickBot="1" x14ac:dyDescent="0.25">
      <c r="A23" s="83" t="s">
        <v>79</v>
      </c>
      <c r="B23" s="83">
        <v>5.1183607033267161E-3</v>
      </c>
      <c r="C23" s="83">
        <v>5.7579985169910258E-3</v>
      </c>
      <c r="D23" s="83">
        <v>6.4188252479181439E-3</v>
      </c>
      <c r="E23" s="83">
        <v>5.3174491785164899E-3</v>
      </c>
      <c r="F23" s="83">
        <v>5.6618642442415549E-3</v>
      </c>
      <c r="G23" s="83">
        <v>4.4830848611345769E-3</v>
      </c>
      <c r="H23" s="83">
        <v>6.9236004988307894E-3</v>
      </c>
      <c r="I23" s="83">
        <v>3.4929265653791744E-3</v>
      </c>
      <c r="J23" s="83">
        <v>4.2915312447960761E-3</v>
      </c>
      <c r="K23" s="83">
        <v>4.9869611919929118E-3</v>
      </c>
      <c r="L23" s="83">
        <v>3.6271833790863916E-3</v>
      </c>
      <c r="M23" s="83">
        <v>4.5386474111812434E-3</v>
      </c>
      <c r="N23" s="83">
        <v>4.8894944113875892E-3</v>
      </c>
      <c r="O23" s="83">
        <v>4.8701636541276596E-4</v>
      </c>
      <c r="P23" s="83">
        <v>2.2500275856523729E-3</v>
      </c>
      <c r="Q23" s="83">
        <v>2.4993777672531114E-3</v>
      </c>
      <c r="R23" s="83">
        <v>3.4615903233569025E-3</v>
      </c>
      <c r="S23" s="83">
        <v>8.1818416874475594E-3</v>
      </c>
      <c r="T23" s="84">
        <f>VARP('Return Data'!$T$2:$T$37)</f>
        <v>1.3577503407221556E-2</v>
      </c>
      <c r="U23" s="85">
        <v>8.1529219524497567E-3</v>
      </c>
    </row>
    <row r="24" spans="1:21" ht="17" thickBot="1" x14ac:dyDescent="0.25">
      <c r="A24" s="85" t="s">
        <v>47</v>
      </c>
      <c r="B24" s="85">
        <v>4.2928635889086589E-3</v>
      </c>
      <c r="C24" s="85">
        <v>4.8827945642888589E-3</v>
      </c>
      <c r="D24" s="85">
        <v>5.4274783913927614E-3</v>
      </c>
      <c r="E24" s="85">
        <v>4.4823619150066987E-3</v>
      </c>
      <c r="F24" s="85">
        <v>4.6706587560638221E-3</v>
      </c>
      <c r="G24" s="85">
        <v>3.7455172725291814E-3</v>
      </c>
      <c r="H24" s="85">
        <v>5.4814209296076182E-3</v>
      </c>
      <c r="I24" s="85">
        <v>2.3510143005570756E-3</v>
      </c>
      <c r="J24" s="85">
        <v>4.1292940740689232E-3</v>
      </c>
      <c r="K24" s="85">
        <v>3.6606603123301418E-3</v>
      </c>
      <c r="L24" s="85">
        <v>3.434161646221279E-3</v>
      </c>
      <c r="M24" s="85">
        <v>4.5292793056069371E-3</v>
      </c>
      <c r="N24" s="85">
        <v>4.5437333296936035E-3</v>
      </c>
      <c r="O24" s="85">
        <v>5.2770319391458266E-4</v>
      </c>
      <c r="P24" s="85">
        <v>1.7354336223591844E-3</v>
      </c>
      <c r="Q24" s="85">
        <v>2.015388306947427E-3</v>
      </c>
      <c r="R24" s="85">
        <v>2.7223088736786139E-3</v>
      </c>
      <c r="S24" s="85">
        <v>6.9069887902750877E-3</v>
      </c>
      <c r="T24" s="85">
        <v>8.1529219524497567E-3</v>
      </c>
      <c r="U24" s="86">
        <f>VARP('Return Data'!$U$2:$U$37)</f>
        <v>1.3197632271515497E-2</v>
      </c>
    </row>
    <row r="26" spans="1:21" x14ac:dyDescent="0.2">
      <c r="C26" s="81" t="s">
        <v>82</v>
      </c>
      <c r="D26" s="81"/>
      <c r="E26" s="81"/>
      <c r="F26" s="81"/>
    </row>
    <row r="27" spans="1:21" ht="17" thickBot="1" x14ac:dyDescent="0.25"/>
    <row r="28" spans="1:21" x14ac:dyDescent="0.2">
      <c r="A28" s="82"/>
      <c r="B28" s="82" t="s">
        <v>77</v>
      </c>
      <c r="C28" s="82" t="s">
        <v>76</v>
      </c>
      <c r="D28" s="82" t="s">
        <v>75</v>
      </c>
      <c r="E28" s="82" t="s">
        <v>74</v>
      </c>
      <c r="F28" s="82" t="s">
        <v>73</v>
      </c>
      <c r="G28" s="82" t="s">
        <v>72</v>
      </c>
      <c r="H28" s="82" t="s">
        <v>71</v>
      </c>
      <c r="I28" s="82" t="s">
        <v>70</v>
      </c>
      <c r="J28" s="82" t="s">
        <v>68</v>
      </c>
      <c r="K28" s="82" t="s">
        <v>67</v>
      </c>
      <c r="L28" s="82" t="s">
        <v>66</v>
      </c>
      <c r="M28" s="82" t="s">
        <v>65</v>
      </c>
      <c r="N28" s="82" t="s">
        <v>64</v>
      </c>
      <c r="O28" s="82" t="s">
        <v>62</v>
      </c>
      <c r="P28" s="82" t="s">
        <v>61</v>
      </c>
      <c r="Q28" s="82" t="s">
        <v>60</v>
      </c>
      <c r="R28" s="82" t="s">
        <v>59</v>
      </c>
      <c r="S28" s="82" t="s">
        <v>80</v>
      </c>
      <c r="T28" s="82" t="s">
        <v>79</v>
      </c>
      <c r="U28" s="87" t="s">
        <v>47</v>
      </c>
    </row>
    <row r="29" spans="1:21" x14ac:dyDescent="0.2">
      <c r="A29" s="83" t="s">
        <v>77</v>
      </c>
      <c r="B29" s="88">
        <f t="shared" ref="B29:U29" si="0">B5*12</f>
        <v>3.5279549971458914E-2</v>
      </c>
      <c r="C29" s="89">
        <f t="shared" si="0"/>
        <v>3.8331665443454302E-2</v>
      </c>
      <c r="D29" s="89">
        <f t="shared" si="0"/>
        <v>4.18936297148991E-2</v>
      </c>
      <c r="E29" s="89">
        <f t="shared" si="0"/>
        <v>3.7866542955343613E-2</v>
      </c>
      <c r="F29" s="89">
        <f t="shared" si="0"/>
        <v>3.8251019870906663E-2</v>
      </c>
      <c r="G29" s="89">
        <f t="shared" si="0"/>
        <v>3.145079853005308E-2</v>
      </c>
      <c r="H29" s="89">
        <f t="shared" si="0"/>
        <v>4.3610408943447518E-2</v>
      </c>
      <c r="I29" s="89">
        <f t="shared" si="0"/>
        <v>2.5127138487365523E-2</v>
      </c>
      <c r="J29" s="89">
        <f t="shared" si="0"/>
        <v>2.9135307324333608E-2</v>
      </c>
      <c r="K29" s="89">
        <f t="shared" si="0"/>
        <v>2.6897977620586593E-2</v>
      </c>
      <c r="L29" s="89">
        <f t="shared" si="0"/>
        <v>2.5746851408067851E-2</v>
      </c>
      <c r="M29" s="89">
        <f t="shared" si="0"/>
        <v>3.1292159993193056E-2</v>
      </c>
      <c r="N29" s="89">
        <f t="shared" si="0"/>
        <v>3.0902552610439813E-2</v>
      </c>
      <c r="O29" s="89">
        <f t="shared" si="0"/>
        <v>1.6590818147833495E-3</v>
      </c>
      <c r="P29" s="89">
        <f t="shared" si="0"/>
        <v>1.2146734549581959E-2</v>
      </c>
      <c r="Q29" s="89">
        <f t="shared" si="0"/>
        <v>1.2247743149161706E-2</v>
      </c>
      <c r="R29" s="89">
        <f t="shared" si="0"/>
        <v>1.7788549097272208E-2</v>
      </c>
      <c r="S29" s="89">
        <f t="shared" si="0"/>
        <v>5.3182594732403735E-2</v>
      </c>
      <c r="T29" s="89">
        <f t="shared" si="0"/>
        <v>6.1420328439920596E-2</v>
      </c>
      <c r="U29" s="90">
        <f t="shared" si="0"/>
        <v>5.1514363066903907E-2</v>
      </c>
    </row>
    <row r="30" spans="1:21" x14ac:dyDescent="0.2">
      <c r="A30" s="83" t="s">
        <v>76</v>
      </c>
      <c r="B30" s="83">
        <f t="shared" ref="B30:U30" si="1">B6*12</f>
        <v>3.8331665443454302E-2</v>
      </c>
      <c r="C30" s="84">
        <f t="shared" si="1"/>
        <v>4.3581933938240627E-2</v>
      </c>
      <c r="D30" s="83">
        <f t="shared" si="1"/>
        <v>4.7923074677656226E-2</v>
      </c>
      <c r="E30" s="83">
        <f t="shared" si="1"/>
        <v>4.0030603810135665E-2</v>
      </c>
      <c r="F30" s="83">
        <f t="shared" si="1"/>
        <v>4.2974842991903441E-2</v>
      </c>
      <c r="G30" s="83">
        <f t="shared" si="1"/>
        <v>3.4929579594164595E-2</v>
      </c>
      <c r="H30" s="83">
        <f t="shared" si="1"/>
        <v>4.6853450935792573E-2</v>
      </c>
      <c r="I30" s="83">
        <f t="shared" si="1"/>
        <v>2.6724134542389345E-2</v>
      </c>
      <c r="J30" s="83">
        <f t="shared" si="1"/>
        <v>3.2343373773953223E-2</v>
      </c>
      <c r="K30" s="83">
        <f t="shared" si="1"/>
        <v>3.0860386285620968E-2</v>
      </c>
      <c r="L30" s="83">
        <f t="shared" si="1"/>
        <v>2.815626932868083E-2</v>
      </c>
      <c r="M30" s="83">
        <f t="shared" si="1"/>
        <v>3.4905317673460334E-2</v>
      </c>
      <c r="N30" s="83">
        <f t="shared" si="1"/>
        <v>3.4968711050411001E-2</v>
      </c>
      <c r="O30" s="83">
        <f t="shared" si="1"/>
        <v>2.1550378195025846E-3</v>
      </c>
      <c r="P30" s="83">
        <f t="shared" si="1"/>
        <v>1.4447839897235942E-2</v>
      </c>
      <c r="Q30" s="83">
        <f t="shared" si="1"/>
        <v>1.3853637746516056E-2</v>
      </c>
      <c r="R30" s="83">
        <f t="shared" si="1"/>
        <v>2.0247371888791717E-2</v>
      </c>
      <c r="S30" s="83">
        <f t="shared" si="1"/>
        <v>6.1655467694606447E-2</v>
      </c>
      <c r="T30" s="83">
        <f t="shared" si="1"/>
        <v>6.9095982203892306E-2</v>
      </c>
      <c r="U30" s="91">
        <f t="shared" si="1"/>
        <v>5.859353477146631E-2</v>
      </c>
    </row>
    <row r="31" spans="1:21" x14ac:dyDescent="0.2">
      <c r="A31" s="83" t="s">
        <v>75</v>
      </c>
      <c r="B31" s="83">
        <f t="shared" ref="B31:U31" si="2">B7*12</f>
        <v>4.18936297148991E-2</v>
      </c>
      <c r="C31" s="83">
        <f t="shared" si="2"/>
        <v>4.7923074677656226E-2</v>
      </c>
      <c r="D31" s="84">
        <f t="shared" si="2"/>
        <v>5.4855494449212339E-2</v>
      </c>
      <c r="E31" s="83">
        <f t="shared" si="2"/>
        <v>4.3418468893313175E-2</v>
      </c>
      <c r="F31" s="83">
        <f t="shared" si="2"/>
        <v>4.8829904750660805E-2</v>
      </c>
      <c r="G31" s="83">
        <f t="shared" si="2"/>
        <v>3.8386512632690224E-2</v>
      </c>
      <c r="H31" s="83">
        <f t="shared" si="2"/>
        <v>5.1422836213447481E-2</v>
      </c>
      <c r="I31" s="83">
        <f t="shared" si="2"/>
        <v>2.8699845497173866E-2</v>
      </c>
      <c r="J31" s="83">
        <f t="shared" si="2"/>
        <v>3.6333159521411217E-2</v>
      </c>
      <c r="K31" s="83">
        <f t="shared" si="2"/>
        <v>3.5908984294246209E-2</v>
      </c>
      <c r="L31" s="83">
        <f t="shared" si="2"/>
        <v>3.0603454970276146E-2</v>
      </c>
      <c r="M31" s="83">
        <f t="shared" si="2"/>
        <v>4.0319936098308945E-2</v>
      </c>
      <c r="N31" s="83">
        <f t="shared" si="2"/>
        <v>3.985575384893341E-2</v>
      </c>
      <c r="O31" s="83">
        <f t="shared" si="2"/>
        <v>1.9114437151260986E-3</v>
      </c>
      <c r="P31" s="83">
        <f t="shared" si="2"/>
        <v>1.6168280486375752E-2</v>
      </c>
      <c r="Q31" s="83">
        <f t="shared" si="2"/>
        <v>1.5097800429985021E-2</v>
      </c>
      <c r="R31" s="83">
        <f t="shared" si="2"/>
        <v>2.2847390298012693E-2</v>
      </c>
      <c r="S31" s="83">
        <f t="shared" si="2"/>
        <v>7.1247330920247723E-2</v>
      </c>
      <c r="T31" s="83">
        <f t="shared" si="2"/>
        <v>7.7025902975017727E-2</v>
      </c>
      <c r="U31" s="91">
        <f t="shared" si="2"/>
        <v>6.5129740696713137E-2</v>
      </c>
    </row>
    <row r="32" spans="1:21" x14ac:dyDescent="0.2">
      <c r="A32" s="83" t="s">
        <v>74</v>
      </c>
      <c r="B32" s="83">
        <f t="shared" ref="B32:U32" si="3">B8*12</f>
        <v>3.7866542955343613E-2</v>
      </c>
      <c r="C32" s="83">
        <f t="shared" si="3"/>
        <v>4.0030603810135665E-2</v>
      </c>
      <c r="D32" s="83">
        <f t="shared" si="3"/>
        <v>4.3418468893313175E-2</v>
      </c>
      <c r="E32" s="84">
        <f t="shared" si="3"/>
        <v>5.03003365681743E-2</v>
      </c>
      <c r="F32" s="83">
        <f t="shared" si="3"/>
        <v>3.6096630475372274E-2</v>
      </c>
      <c r="G32" s="83">
        <f t="shared" si="3"/>
        <v>2.9679223210625966E-2</v>
      </c>
      <c r="H32" s="83">
        <f t="shared" si="3"/>
        <v>4.9308298564528057E-2</v>
      </c>
      <c r="I32" s="83">
        <f t="shared" si="3"/>
        <v>2.622301950743957E-2</v>
      </c>
      <c r="J32" s="83">
        <f t="shared" si="3"/>
        <v>2.9233403577613788E-2</v>
      </c>
      <c r="K32" s="83">
        <f t="shared" si="3"/>
        <v>2.8066456476330527E-2</v>
      </c>
      <c r="L32" s="83">
        <f t="shared" si="3"/>
        <v>2.7623938030727338E-2</v>
      </c>
      <c r="M32" s="83">
        <f t="shared" si="3"/>
        <v>2.8759349016203424E-2</v>
      </c>
      <c r="N32" s="83">
        <f t="shared" si="3"/>
        <v>2.9429352714093401E-2</v>
      </c>
      <c r="O32" s="83">
        <f t="shared" si="3"/>
        <v>2.9703569324275791E-3</v>
      </c>
      <c r="P32" s="83">
        <f t="shared" si="3"/>
        <v>1.2976203291727443E-2</v>
      </c>
      <c r="Q32" s="83">
        <f t="shared" si="3"/>
        <v>1.3472946439603461E-2</v>
      </c>
      <c r="R32" s="83">
        <f t="shared" si="3"/>
        <v>1.9218988451771307E-2</v>
      </c>
      <c r="S32" s="83">
        <f t="shared" si="3"/>
        <v>4.8772328580219793E-2</v>
      </c>
      <c r="T32" s="83">
        <f t="shared" si="3"/>
        <v>6.3809390142197886E-2</v>
      </c>
      <c r="U32" s="91">
        <f t="shared" si="3"/>
        <v>5.3788342980080381E-2</v>
      </c>
    </row>
    <row r="33" spans="1:21" x14ac:dyDescent="0.2">
      <c r="A33" s="83" t="s">
        <v>73</v>
      </c>
      <c r="B33" s="83">
        <f t="shared" ref="B33:U33" si="4">B9*12</f>
        <v>3.8251019870906663E-2</v>
      </c>
      <c r="C33" s="83">
        <f t="shared" si="4"/>
        <v>4.2974842991903441E-2</v>
      </c>
      <c r="D33" s="83">
        <f t="shared" si="4"/>
        <v>4.8829904750660805E-2</v>
      </c>
      <c r="E33" s="83">
        <f t="shared" si="4"/>
        <v>3.6096630475372274E-2</v>
      </c>
      <c r="F33" s="84">
        <f t="shared" si="4"/>
        <v>4.9332468993923587E-2</v>
      </c>
      <c r="G33" s="83">
        <f t="shared" si="4"/>
        <v>3.7704625816409362E-2</v>
      </c>
      <c r="H33" s="83">
        <f t="shared" si="4"/>
        <v>4.534896496014483E-2</v>
      </c>
      <c r="I33" s="83">
        <f t="shared" si="4"/>
        <v>2.6015821389649307E-2</v>
      </c>
      <c r="J33" s="83">
        <f t="shared" si="4"/>
        <v>3.4748784129075394E-2</v>
      </c>
      <c r="K33" s="83">
        <f t="shared" si="4"/>
        <v>3.1445006946997624E-2</v>
      </c>
      <c r="L33" s="83">
        <f t="shared" si="4"/>
        <v>2.8300321262386418E-2</v>
      </c>
      <c r="M33" s="83">
        <f t="shared" si="4"/>
        <v>4.0893659643477749E-2</v>
      </c>
      <c r="N33" s="83">
        <f t="shared" si="4"/>
        <v>3.8483810501707627E-2</v>
      </c>
      <c r="O33" s="83">
        <f t="shared" si="4"/>
        <v>5.0373678258250961E-4</v>
      </c>
      <c r="P33" s="83">
        <f t="shared" si="4"/>
        <v>1.3536154280806963E-2</v>
      </c>
      <c r="Q33" s="83">
        <f t="shared" si="4"/>
        <v>1.2277830792983866E-2</v>
      </c>
      <c r="R33" s="83">
        <f t="shared" si="4"/>
        <v>1.9583135616880409E-2</v>
      </c>
      <c r="S33" s="83">
        <f t="shared" si="4"/>
        <v>6.880924682970864E-2</v>
      </c>
      <c r="T33" s="83">
        <f t="shared" si="4"/>
        <v>6.7942370930898666E-2</v>
      </c>
      <c r="U33" s="91">
        <f t="shared" si="4"/>
        <v>5.6047905072765865E-2</v>
      </c>
    </row>
    <row r="34" spans="1:21" x14ac:dyDescent="0.2">
      <c r="A34" s="83" t="s">
        <v>72</v>
      </c>
      <c r="B34" s="83">
        <f t="shared" ref="B34:U34" si="5">B10*12</f>
        <v>3.145079853005308E-2</v>
      </c>
      <c r="C34" s="83">
        <f t="shared" si="5"/>
        <v>3.4929579594164595E-2</v>
      </c>
      <c r="D34" s="83">
        <f t="shared" si="5"/>
        <v>3.8386512632690224E-2</v>
      </c>
      <c r="E34" s="83">
        <f t="shared" si="5"/>
        <v>2.9679223210625966E-2</v>
      </c>
      <c r="F34" s="83">
        <f t="shared" si="5"/>
        <v>3.7704625816409362E-2</v>
      </c>
      <c r="G34" s="84">
        <f t="shared" si="5"/>
        <v>3.1218681796569073E-2</v>
      </c>
      <c r="H34" s="83">
        <f t="shared" si="5"/>
        <v>3.7057529705839309E-2</v>
      </c>
      <c r="I34" s="83">
        <f t="shared" si="5"/>
        <v>2.2360247642482158E-2</v>
      </c>
      <c r="J34" s="83">
        <f t="shared" si="5"/>
        <v>2.7602866079242096E-2</v>
      </c>
      <c r="K34" s="83">
        <f t="shared" si="5"/>
        <v>2.425330986833785E-2</v>
      </c>
      <c r="L34" s="83">
        <f t="shared" si="5"/>
        <v>2.3312528106894357E-2</v>
      </c>
      <c r="M34" s="83">
        <f t="shared" si="5"/>
        <v>3.1299557050893649E-2</v>
      </c>
      <c r="N34" s="83">
        <f t="shared" si="5"/>
        <v>3.0235712481194471E-2</v>
      </c>
      <c r="O34" s="83">
        <f t="shared" si="5"/>
        <v>5.9759988086477531E-4</v>
      </c>
      <c r="P34" s="83">
        <f t="shared" si="5"/>
        <v>1.0486064093968454E-2</v>
      </c>
      <c r="Q34" s="83">
        <f t="shared" si="5"/>
        <v>1.0111191955471959E-2</v>
      </c>
      <c r="R34" s="83">
        <f t="shared" si="5"/>
        <v>1.5521485081895221E-2</v>
      </c>
      <c r="S34" s="83">
        <f t="shared" si="5"/>
        <v>5.4216673077054411E-2</v>
      </c>
      <c r="T34" s="83">
        <f t="shared" si="5"/>
        <v>5.3797018333614922E-2</v>
      </c>
      <c r="U34" s="91">
        <f t="shared" si="5"/>
        <v>4.4946207270350175E-2</v>
      </c>
    </row>
    <row r="35" spans="1:21" x14ac:dyDescent="0.2">
      <c r="A35" s="83" t="s">
        <v>71</v>
      </c>
      <c r="B35" s="83">
        <f t="shared" ref="B35:U35" si="6">B11*12</f>
        <v>4.3610408943447518E-2</v>
      </c>
      <c r="C35" s="83">
        <f t="shared" si="6"/>
        <v>4.6853450935792573E-2</v>
      </c>
      <c r="D35" s="83">
        <f t="shared" si="6"/>
        <v>5.1422836213447481E-2</v>
      </c>
      <c r="E35" s="83">
        <f t="shared" si="6"/>
        <v>4.9308298564528057E-2</v>
      </c>
      <c r="F35" s="83">
        <f t="shared" si="6"/>
        <v>4.534896496014483E-2</v>
      </c>
      <c r="G35" s="83">
        <f t="shared" si="6"/>
        <v>3.7057529705839309E-2</v>
      </c>
      <c r="H35" s="84">
        <f t="shared" si="6"/>
        <v>5.8926984003181304E-2</v>
      </c>
      <c r="I35" s="83">
        <f t="shared" si="6"/>
        <v>3.0656749728970478E-2</v>
      </c>
      <c r="J35" s="83">
        <f t="shared" si="6"/>
        <v>3.490733659444676E-2</v>
      </c>
      <c r="K35" s="83">
        <f t="shared" si="6"/>
        <v>3.4572798195890243E-2</v>
      </c>
      <c r="L35" s="83">
        <f t="shared" si="6"/>
        <v>3.1019344939421621E-2</v>
      </c>
      <c r="M35" s="83">
        <f t="shared" si="6"/>
        <v>3.6604260365072985E-2</v>
      </c>
      <c r="N35" s="83">
        <f t="shared" si="6"/>
        <v>3.7044967848601486E-2</v>
      </c>
      <c r="O35" s="83">
        <f t="shared" si="6"/>
        <v>2.9041989012738197E-3</v>
      </c>
      <c r="P35" s="83">
        <f t="shared" si="6"/>
        <v>1.548805403820511E-2</v>
      </c>
      <c r="Q35" s="83">
        <f t="shared" si="6"/>
        <v>1.6396823800265792E-2</v>
      </c>
      <c r="R35" s="83">
        <f t="shared" si="6"/>
        <v>2.3356430519571175E-2</v>
      </c>
      <c r="S35" s="83">
        <f t="shared" si="6"/>
        <v>6.4669975152281872E-2</v>
      </c>
      <c r="T35" s="83">
        <f t="shared" si="6"/>
        <v>8.3083205985969466E-2</v>
      </c>
      <c r="U35" s="91">
        <f t="shared" si="6"/>
        <v>6.5777051155291422E-2</v>
      </c>
    </row>
    <row r="36" spans="1:21" x14ac:dyDescent="0.2">
      <c r="A36" s="83" t="s">
        <v>70</v>
      </c>
      <c r="B36" s="83">
        <f t="shared" ref="B36:U36" si="7">B12*12</f>
        <v>2.5127138487365523E-2</v>
      </c>
      <c r="C36" s="83">
        <f t="shared" si="7"/>
        <v>2.6724134542389345E-2</v>
      </c>
      <c r="D36" s="83">
        <f t="shared" si="7"/>
        <v>2.8699845497173866E-2</v>
      </c>
      <c r="E36" s="83">
        <f t="shared" si="7"/>
        <v>2.622301950743957E-2</v>
      </c>
      <c r="F36" s="83">
        <f t="shared" si="7"/>
        <v>2.6015821389649307E-2</v>
      </c>
      <c r="G36" s="83">
        <f t="shared" si="7"/>
        <v>2.2360247642482158E-2</v>
      </c>
      <c r="H36" s="83">
        <f t="shared" si="7"/>
        <v>3.0656749728970478E-2</v>
      </c>
      <c r="I36" s="84">
        <f t="shared" si="7"/>
        <v>2.5054503518986374E-2</v>
      </c>
      <c r="J36" s="83">
        <f t="shared" si="7"/>
        <v>1.9568641844293841E-2</v>
      </c>
      <c r="K36" s="83">
        <f t="shared" si="7"/>
        <v>1.8707072991950895E-2</v>
      </c>
      <c r="L36" s="83">
        <f t="shared" si="7"/>
        <v>1.8619585568735841E-2</v>
      </c>
      <c r="M36" s="83">
        <f t="shared" si="7"/>
        <v>1.9840554394615642E-2</v>
      </c>
      <c r="N36" s="83">
        <f t="shared" si="7"/>
        <v>1.9888871811013311E-2</v>
      </c>
      <c r="O36" s="83">
        <f t="shared" si="7"/>
        <v>1.5136944521177136E-3</v>
      </c>
      <c r="P36" s="83">
        <f t="shared" si="7"/>
        <v>7.7243652972336816E-3</v>
      </c>
      <c r="Q36" s="83">
        <f t="shared" si="7"/>
        <v>8.6786983103030665E-3</v>
      </c>
      <c r="R36" s="83">
        <f t="shared" si="7"/>
        <v>1.1671448610481033E-2</v>
      </c>
      <c r="S36" s="83">
        <f t="shared" si="7"/>
        <v>3.5441943555807154E-2</v>
      </c>
      <c r="T36" s="83">
        <f t="shared" si="7"/>
        <v>4.1915118784550093E-2</v>
      </c>
      <c r="U36" s="91">
        <f t="shared" si="7"/>
        <v>2.8212171606684905E-2</v>
      </c>
    </row>
    <row r="37" spans="1:21" x14ac:dyDescent="0.2">
      <c r="A37" s="83" t="s">
        <v>68</v>
      </c>
      <c r="B37" s="83">
        <f t="shared" ref="B37:U37" si="8">B13*12</f>
        <v>2.9135307324333608E-2</v>
      </c>
      <c r="C37" s="83">
        <f t="shared" si="8"/>
        <v>3.2343373773953223E-2</v>
      </c>
      <c r="D37" s="83">
        <f t="shared" si="8"/>
        <v>3.6333159521411217E-2</v>
      </c>
      <c r="E37" s="83">
        <f t="shared" si="8"/>
        <v>2.9233403577613788E-2</v>
      </c>
      <c r="F37" s="83">
        <f t="shared" si="8"/>
        <v>3.4748784129075394E-2</v>
      </c>
      <c r="G37" s="83">
        <f t="shared" si="8"/>
        <v>2.7602866079242096E-2</v>
      </c>
      <c r="H37" s="83">
        <f t="shared" si="8"/>
        <v>3.490733659444676E-2</v>
      </c>
      <c r="I37" s="83">
        <f t="shared" si="8"/>
        <v>1.9568641844293841E-2</v>
      </c>
      <c r="J37" s="84">
        <f t="shared" si="8"/>
        <v>2.8271446737754915E-2</v>
      </c>
      <c r="K37" s="83">
        <f t="shared" si="8"/>
        <v>2.5273699150236105E-2</v>
      </c>
      <c r="L37" s="83">
        <f t="shared" si="8"/>
        <v>2.3896504146897358E-2</v>
      </c>
      <c r="M37" s="83">
        <f t="shared" si="8"/>
        <v>3.1678191165024225E-2</v>
      </c>
      <c r="N37" s="83">
        <f t="shared" si="8"/>
        <v>3.0758681815914186E-2</v>
      </c>
      <c r="O37" s="83">
        <f t="shared" si="8"/>
        <v>1.3507654496758416E-3</v>
      </c>
      <c r="P37" s="83">
        <f t="shared" si="8"/>
        <v>1.0692090473256886E-2</v>
      </c>
      <c r="Q37" s="83">
        <f t="shared" si="8"/>
        <v>1.1370656227872374E-2</v>
      </c>
      <c r="R37" s="83">
        <f t="shared" si="8"/>
        <v>1.6968951202240984E-2</v>
      </c>
      <c r="S37" s="83">
        <f t="shared" si="8"/>
        <v>4.7880492595580845E-2</v>
      </c>
      <c r="T37" s="83">
        <f t="shared" si="8"/>
        <v>5.149837493755291E-2</v>
      </c>
      <c r="U37" s="91">
        <f t="shared" si="8"/>
        <v>4.9551528888827079E-2</v>
      </c>
    </row>
    <row r="38" spans="1:21" x14ac:dyDescent="0.2">
      <c r="A38" s="83" t="s">
        <v>67</v>
      </c>
      <c r="B38" s="83">
        <f t="shared" ref="B38:U38" si="9">B14*12</f>
        <v>2.6897977620586593E-2</v>
      </c>
      <c r="C38" s="83">
        <f t="shared" si="9"/>
        <v>3.0860386285620968E-2</v>
      </c>
      <c r="D38" s="83">
        <f t="shared" si="9"/>
        <v>3.5908984294246209E-2</v>
      </c>
      <c r="E38" s="83">
        <f t="shared" si="9"/>
        <v>2.8066456476330527E-2</v>
      </c>
      <c r="F38" s="83">
        <f t="shared" si="9"/>
        <v>3.1445006946997624E-2</v>
      </c>
      <c r="G38" s="83">
        <f t="shared" si="9"/>
        <v>2.425330986833785E-2</v>
      </c>
      <c r="H38" s="83">
        <f t="shared" si="9"/>
        <v>3.4572798195890243E-2</v>
      </c>
      <c r="I38" s="83">
        <f t="shared" si="9"/>
        <v>1.8707072991950895E-2</v>
      </c>
      <c r="J38" s="83">
        <f t="shared" si="9"/>
        <v>2.5273699150236105E-2</v>
      </c>
      <c r="K38" s="84">
        <f t="shared" si="9"/>
        <v>3.1772234105898196E-2</v>
      </c>
      <c r="L38" s="83">
        <f t="shared" si="9"/>
        <v>2.0990393773388467E-2</v>
      </c>
      <c r="M38" s="83">
        <f t="shared" si="9"/>
        <v>2.7194997845155583E-2</v>
      </c>
      <c r="N38" s="83">
        <f t="shared" si="9"/>
        <v>2.8874400624875861E-2</v>
      </c>
      <c r="O38" s="83">
        <f t="shared" si="9"/>
        <v>1.8998969970393503E-3</v>
      </c>
      <c r="P38" s="83">
        <f t="shared" si="9"/>
        <v>1.1817291386998087E-2</v>
      </c>
      <c r="Q38" s="83">
        <f t="shared" si="9"/>
        <v>1.2414514915891458E-2</v>
      </c>
      <c r="R38" s="83">
        <f t="shared" si="9"/>
        <v>1.7786307997348948E-2</v>
      </c>
      <c r="S38" s="83">
        <f t="shared" si="9"/>
        <v>4.2514604337622101E-2</v>
      </c>
      <c r="T38" s="83">
        <f t="shared" si="9"/>
        <v>5.9843534303914939E-2</v>
      </c>
      <c r="U38" s="91">
        <f t="shared" si="9"/>
        <v>4.39279237479617E-2</v>
      </c>
    </row>
    <row r="39" spans="1:21" x14ac:dyDescent="0.2">
      <c r="A39" s="83" t="s">
        <v>66</v>
      </c>
      <c r="B39" s="83">
        <f t="shared" ref="B39:U39" si="10">B15*12</f>
        <v>2.5746851408067851E-2</v>
      </c>
      <c r="C39" s="83">
        <f t="shared" si="10"/>
        <v>2.815626932868083E-2</v>
      </c>
      <c r="D39" s="83">
        <f t="shared" si="10"/>
        <v>3.0603454970276146E-2</v>
      </c>
      <c r="E39" s="83">
        <f t="shared" si="10"/>
        <v>2.7623938030727338E-2</v>
      </c>
      <c r="F39" s="83">
        <f t="shared" si="10"/>
        <v>2.8300321262386418E-2</v>
      </c>
      <c r="G39" s="83">
        <f t="shared" si="10"/>
        <v>2.3312528106894357E-2</v>
      </c>
      <c r="H39" s="83">
        <f t="shared" si="10"/>
        <v>3.1019344939421621E-2</v>
      </c>
      <c r="I39" s="83">
        <f t="shared" si="10"/>
        <v>1.8619585568735841E-2</v>
      </c>
      <c r="J39" s="83">
        <f t="shared" si="10"/>
        <v>2.3896504146897358E-2</v>
      </c>
      <c r="K39" s="83">
        <f t="shared" si="10"/>
        <v>2.0990393773388467E-2</v>
      </c>
      <c r="L39" s="84">
        <f t="shared" si="10"/>
        <v>2.1601777114077958E-2</v>
      </c>
      <c r="M39" s="83">
        <f t="shared" si="10"/>
        <v>2.5196633044781772E-2</v>
      </c>
      <c r="N39" s="83">
        <f t="shared" si="10"/>
        <v>2.5001911666356486E-2</v>
      </c>
      <c r="O39" s="83">
        <f t="shared" si="10"/>
        <v>1.7211926717976478E-3</v>
      </c>
      <c r="P39" s="83">
        <f t="shared" si="10"/>
        <v>9.2239796507149942E-3</v>
      </c>
      <c r="Q39" s="83">
        <f t="shared" si="10"/>
        <v>1.0402724660351666E-2</v>
      </c>
      <c r="R39" s="83">
        <f t="shared" si="10"/>
        <v>1.4619396651090064E-2</v>
      </c>
      <c r="S39" s="83">
        <f t="shared" si="10"/>
        <v>3.6357461425867536E-2</v>
      </c>
      <c r="T39" s="83">
        <f t="shared" si="10"/>
        <v>4.3526200549036699E-2</v>
      </c>
      <c r="U39" s="91">
        <f t="shared" si="10"/>
        <v>4.1209939754655346E-2</v>
      </c>
    </row>
    <row r="40" spans="1:21" x14ac:dyDescent="0.2">
      <c r="A40" s="83" t="s">
        <v>65</v>
      </c>
      <c r="B40" s="83">
        <f t="shared" ref="B40:U40" si="11">B16*12</f>
        <v>3.1292159993193056E-2</v>
      </c>
      <c r="C40" s="83">
        <f t="shared" si="11"/>
        <v>3.4905317673460334E-2</v>
      </c>
      <c r="D40" s="83">
        <f t="shared" si="11"/>
        <v>4.0319936098308945E-2</v>
      </c>
      <c r="E40" s="83">
        <f t="shared" si="11"/>
        <v>2.8759349016203424E-2</v>
      </c>
      <c r="F40" s="83">
        <f t="shared" si="11"/>
        <v>4.0893659643477749E-2</v>
      </c>
      <c r="G40" s="83">
        <f t="shared" si="11"/>
        <v>3.1299557050893649E-2</v>
      </c>
      <c r="H40" s="83">
        <f t="shared" si="11"/>
        <v>3.6604260365072985E-2</v>
      </c>
      <c r="I40" s="83">
        <f t="shared" si="11"/>
        <v>1.9840554394615642E-2</v>
      </c>
      <c r="J40" s="83">
        <f t="shared" si="11"/>
        <v>3.1678191165024225E-2</v>
      </c>
      <c r="K40" s="83">
        <f t="shared" si="11"/>
        <v>2.7194997845155583E-2</v>
      </c>
      <c r="L40" s="83">
        <f t="shared" si="11"/>
        <v>2.5196633044781772E-2</v>
      </c>
      <c r="M40" s="84">
        <f t="shared" si="11"/>
        <v>3.8284554970049796E-2</v>
      </c>
      <c r="N40" s="83">
        <f t="shared" si="11"/>
        <v>3.5300389280107626E-2</v>
      </c>
      <c r="O40" s="83">
        <f t="shared" si="11"/>
        <v>4.3548640306834515E-4</v>
      </c>
      <c r="P40" s="83">
        <f t="shared" si="11"/>
        <v>1.1173895613256126E-2</v>
      </c>
      <c r="Q40" s="83">
        <f t="shared" si="11"/>
        <v>1.0780302687777174E-2</v>
      </c>
      <c r="R40" s="83">
        <f t="shared" si="11"/>
        <v>1.7637538174055535E-2</v>
      </c>
      <c r="S40" s="83">
        <f t="shared" si="11"/>
        <v>6.0068463513381853E-2</v>
      </c>
      <c r="T40" s="83">
        <f t="shared" si="11"/>
        <v>5.4463768934174921E-2</v>
      </c>
      <c r="U40" s="91">
        <f t="shared" si="11"/>
        <v>5.4351351667283249E-2</v>
      </c>
    </row>
    <row r="41" spans="1:21" x14ac:dyDescent="0.2">
      <c r="A41" s="83" t="s">
        <v>64</v>
      </c>
      <c r="B41" s="83">
        <f t="shared" ref="B41:U41" si="12">B17*12</f>
        <v>3.0902552610439813E-2</v>
      </c>
      <c r="C41" s="83">
        <f t="shared" si="12"/>
        <v>3.4968711050411001E-2</v>
      </c>
      <c r="D41" s="83">
        <f t="shared" si="12"/>
        <v>3.985575384893341E-2</v>
      </c>
      <c r="E41" s="83">
        <f t="shared" si="12"/>
        <v>2.9429352714093401E-2</v>
      </c>
      <c r="F41" s="83">
        <f t="shared" si="12"/>
        <v>3.8483810501707627E-2</v>
      </c>
      <c r="G41" s="83">
        <f t="shared" si="12"/>
        <v>3.0235712481194471E-2</v>
      </c>
      <c r="H41" s="83">
        <f t="shared" si="12"/>
        <v>3.7044967848601486E-2</v>
      </c>
      <c r="I41" s="83">
        <f t="shared" si="12"/>
        <v>1.9888871811013311E-2</v>
      </c>
      <c r="J41" s="83">
        <f t="shared" si="12"/>
        <v>3.0758681815914186E-2</v>
      </c>
      <c r="K41" s="83">
        <f t="shared" si="12"/>
        <v>2.8874400624875861E-2</v>
      </c>
      <c r="L41" s="83">
        <f t="shared" si="12"/>
        <v>2.5001911666356486E-2</v>
      </c>
      <c r="M41" s="83">
        <f t="shared" si="12"/>
        <v>3.5300389280107626E-2</v>
      </c>
      <c r="N41" s="84">
        <f t="shared" si="12"/>
        <v>3.473925787552179E-2</v>
      </c>
      <c r="O41" s="83">
        <f t="shared" si="12"/>
        <v>1.2798292641379681E-3</v>
      </c>
      <c r="P41" s="83">
        <f t="shared" si="12"/>
        <v>1.1951407972043897E-2</v>
      </c>
      <c r="Q41" s="83">
        <f t="shared" si="12"/>
        <v>1.2484045643725548E-2</v>
      </c>
      <c r="R41" s="83">
        <f t="shared" si="12"/>
        <v>1.9037152452725217E-2</v>
      </c>
      <c r="S41" s="83">
        <f t="shared" si="12"/>
        <v>5.5804715884686294E-2</v>
      </c>
      <c r="T41" s="83">
        <f t="shared" si="12"/>
        <v>5.8673932936651074E-2</v>
      </c>
      <c r="U41" s="91">
        <f t="shared" si="12"/>
        <v>5.4524799956323242E-2</v>
      </c>
    </row>
    <row r="42" spans="1:21" x14ac:dyDescent="0.2">
      <c r="A42" s="83" t="s">
        <v>62</v>
      </c>
      <c r="B42" s="83">
        <f t="shared" ref="B42:U42" si="13">B18*12</f>
        <v>1.6590818147833495E-3</v>
      </c>
      <c r="C42" s="83">
        <f t="shared" si="13"/>
        <v>2.1550378195025846E-3</v>
      </c>
      <c r="D42" s="83">
        <f t="shared" si="13"/>
        <v>1.9114437151260986E-3</v>
      </c>
      <c r="E42" s="83">
        <f t="shared" si="13"/>
        <v>2.9703569324275791E-3</v>
      </c>
      <c r="F42" s="83">
        <f t="shared" si="13"/>
        <v>5.0373678258250961E-4</v>
      </c>
      <c r="G42" s="83">
        <f t="shared" si="13"/>
        <v>5.9759988086477531E-4</v>
      </c>
      <c r="H42" s="83">
        <f t="shared" si="13"/>
        <v>2.9041989012738197E-3</v>
      </c>
      <c r="I42" s="83">
        <f t="shared" si="13"/>
        <v>1.5136944521177136E-3</v>
      </c>
      <c r="J42" s="83">
        <f t="shared" si="13"/>
        <v>1.3507654496758416E-3</v>
      </c>
      <c r="K42" s="83">
        <f t="shared" si="13"/>
        <v>1.8998969970393503E-3</v>
      </c>
      <c r="L42" s="83">
        <f t="shared" si="13"/>
        <v>1.7211926717976478E-3</v>
      </c>
      <c r="M42" s="83">
        <f t="shared" si="13"/>
        <v>4.3548640306834515E-4</v>
      </c>
      <c r="N42" s="83">
        <f t="shared" si="13"/>
        <v>1.2798292641379681E-3</v>
      </c>
      <c r="O42" s="84">
        <f t="shared" si="13"/>
        <v>1.4132338567213719E-3</v>
      </c>
      <c r="P42" s="83">
        <f t="shared" si="13"/>
        <v>1.56632007451226E-3</v>
      </c>
      <c r="Q42" s="83">
        <f t="shared" si="13"/>
        <v>2.2504448127778783E-3</v>
      </c>
      <c r="R42" s="83">
        <f t="shared" si="13"/>
        <v>2.2769015035215491E-3</v>
      </c>
      <c r="S42" s="83">
        <f t="shared" si="13"/>
        <v>8.4161854590632007E-4</v>
      </c>
      <c r="T42" s="83">
        <f t="shared" si="13"/>
        <v>5.844196384953192E-3</v>
      </c>
      <c r="U42" s="91">
        <f t="shared" si="13"/>
        <v>6.3324383269749915E-3</v>
      </c>
    </row>
    <row r="43" spans="1:21" x14ac:dyDescent="0.2">
      <c r="A43" s="83" t="s">
        <v>61</v>
      </c>
      <c r="B43" s="83">
        <f t="shared" ref="B43:U43" si="14">B19*12</f>
        <v>1.2146734549581959E-2</v>
      </c>
      <c r="C43" s="83">
        <f t="shared" si="14"/>
        <v>1.4447839897235942E-2</v>
      </c>
      <c r="D43" s="83">
        <f t="shared" si="14"/>
        <v>1.6168280486375752E-2</v>
      </c>
      <c r="E43" s="83">
        <f t="shared" si="14"/>
        <v>1.2976203291727443E-2</v>
      </c>
      <c r="F43" s="83">
        <f t="shared" si="14"/>
        <v>1.3536154280806963E-2</v>
      </c>
      <c r="G43" s="83">
        <f t="shared" si="14"/>
        <v>1.0486064093968454E-2</v>
      </c>
      <c r="H43" s="83">
        <f t="shared" si="14"/>
        <v>1.548805403820511E-2</v>
      </c>
      <c r="I43" s="83">
        <f t="shared" si="14"/>
        <v>7.7243652972336816E-3</v>
      </c>
      <c r="J43" s="83">
        <f t="shared" si="14"/>
        <v>1.0692090473256886E-2</v>
      </c>
      <c r="K43" s="83">
        <f t="shared" si="14"/>
        <v>1.1817291386998087E-2</v>
      </c>
      <c r="L43" s="83">
        <f t="shared" si="14"/>
        <v>9.2239796507149942E-3</v>
      </c>
      <c r="M43" s="83">
        <f t="shared" si="14"/>
        <v>1.1173895613256126E-2</v>
      </c>
      <c r="N43" s="83">
        <f t="shared" si="14"/>
        <v>1.1951407972043897E-2</v>
      </c>
      <c r="O43" s="83">
        <f t="shared" si="14"/>
        <v>1.56632007451226E-3</v>
      </c>
      <c r="P43" s="84">
        <f t="shared" si="14"/>
        <v>6.6541060549873045E-3</v>
      </c>
      <c r="Q43" s="83">
        <f t="shared" si="14"/>
        <v>6.0233443967244744E-3</v>
      </c>
      <c r="R43" s="83">
        <f t="shared" si="14"/>
        <v>8.5037599356225513E-3</v>
      </c>
      <c r="S43" s="83">
        <f t="shared" si="14"/>
        <v>1.759788319265029E-2</v>
      </c>
      <c r="T43" s="83">
        <f t="shared" si="14"/>
        <v>2.7000331027828475E-2</v>
      </c>
      <c r="U43" s="91">
        <f t="shared" si="14"/>
        <v>2.0825203468310211E-2</v>
      </c>
    </row>
    <row r="44" spans="1:21" x14ac:dyDescent="0.2">
      <c r="A44" s="83" t="s">
        <v>60</v>
      </c>
      <c r="B44" s="83">
        <f t="shared" ref="B44:U44" si="15">B20*12</f>
        <v>1.2247743149161706E-2</v>
      </c>
      <c r="C44" s="83">
        <f t="shared" si="15"/>
        <v>1.3853637746516056E-2</v>
      </c>
      <c r="D44" s="83">
        <f t="shared" si="15"/>
        <v>1.5097800429985021E-2</v>
      </c>
      <c r="E44" s="83">
        <f t="shared" si="15"/>
        <v>1.3472946439603461E-2</v>
      </c>
      <c r="F44" s="83">
        <f t="shared" si="15"/>
        <v>1.2277830792983866E-2</v>
      </c>
      <c r="G44" s="83">
        <f t="shared" si="15"/>
        <v>1.0111191955471959E-2</v>
      </c>
      <c r="H44" s="83">
        <f t="shared" si="15"/>
        <v>1.6396823800265792E-2</v>
      </c>
      <c r="I44" s="83">
        <f t="shared" si="15"/>
        <v>8.6786983103030665E-3</v>
      </c>
      <c r="J44" s="83">
        <f t="shared" si="15"/>
        <v>1.1370656227872374E-2</v>
      </c>
      <c r="K44" s="83">
        <f t="shared" si="15"/>
        <v>1.2414514915891458E-2</v>
      </c>
      <c r="L44" s="83">
        <f t="shared" si="15"/>
        <v>1.0402724660351666E-2</v>
      </c>
      <c r="M44" s="83">
        <f t="shared" si="15"/>
        <v>1.0780302687777174E-2</v>
      </c>
      <c r="N44" s="83">
        <f t="shared" si="15"/>
        <v>1.2484045643725548E-2</v>
      </c>
      <c r="O44" s="83">
        <f t="shared" si="15"/>
        <v>2.2504448127778783E-3</v>
      </c>
      <c r="P44" s="83">
        <f t="shared" si="15"/>
        <v>6.0233443967244744E-3</v>
      </c>
      <c r="Q44" s="84">
        <f t="shared" si="15"/>
        <v>8.5144773316507653E-3</v>
      </c>
      <c r="R44" s="83">
        <f t="shared" si="15"/>
        <v>1.045910315811059E-2</v>
      </c>
      <c r="S44" s="83">
        <f t="shared" si="15"/>
        <v>1.5260170206251086E-2</v>
      </c>
      <c r="T44" s="83">
        <f t="shared" si="15"/>
        <v>2.9992533207037337E-2</v>
      </c>
      <c r="U44" s="91">
        <f t="shared" si="15"/>
        <v>2.4184659683369122E-2</v>
      </c>
    </row>
    <row r="45" spans="1:21" x14ac:dyDescent="0.2">
      <c r="A45" s="83" t="s">
        <v>59</v>
      </c>
      <c r="B45" s="83">
        <f t="shared" ref="B45:U45" si="16">B21*12</f>
        <v>1.7788549097272208E-2</v>
      </c>
      <c r="C45" s="83">
        <f t="shared" si="16"/>
        <v>2.0247371888791717E-2</v>
      </c>
      <c r="D45" s="83">
        <f t="shared" si="16"/>
        <v>2.2847390298012693E-2</v>
      </c>
      <c r="E45" s="83">
        <f t="shared" si="16"/>
        <v>1.9218988451771307E-2</v>
      </c>
      <c r="F45" s="83">
        <f t="shared" si="16"/>
        <v>1.9583135616880409E-2</v>
      </c>
      <c r="G45" s="83">
        <f t="shared" si="16"/>
        <v>1.5521485081895221E-2</v>
      </c>
      <c r="H45" s="83">
        <f t="shared" si="16"/>
        <v>2.3356430519571175E-2</v>
      </c>
      <c r="I45" s="83">
        <f t="shared" si="16"/>
        <v>1.1671448610481033E-2</v>
      </c>
      <c r="J45" s="83">
        <f t="shared" si="16"/>
        <v>1.6968951202240984E-2</v>
      </c>
      <c r="K45" s="83">
        <f t="shared" si="16"/>
        <v>1.7786307997348948E-2</v>
      </c>
      <c r="L45" s="83">
        <f t="shared" si="16"/>
        <v>1.4619396651090064E-2</v>
      </c>
      <c r="M45" s="83">
        <f t="shared" si="16"/>
        <v>1.7637538174055535E-2</v>
      </c>
      <c r="N45" s="83">
        <f t="shared" si="16"/>
        <v>1.9037152452725217E-2</v>
      </c>
      <c r="O45" s="83">
        <f t="shared" si="16"/>
        <v>2.2769015035215491E-3</v>
      </c>
      <c r="P45" s="83">
        <f t="shared" si="16"/>
        <v>8.5037599356225513E-3</v>
      </c>
      <c r="Q45" s="83">
        <f t="shared" si="16"/>
        <v>1.045910315811059E-2</v>
      </c>
      <c r="R45" s="84">
        <f t="shared" si="16"/>
        <v>1.4584324022488883E-2</v>
      </c>
      <c r="S45" s="83">
        <f t="shared" si="16"/>
        <v>2.7790885018104328E-2</v>
      </c>
      <c r="T45" s="83">
        <f t="shared" si="16"/>
        <v>4.153908388028283E-2</v>
      </c>
      <c r="U45" s="91">
        <f t="shared" si="16"/>
        <v>3.2667706484143369E-2</v>
      </c>
    </row>
    <row r="46" spans="1:21" x14ac:dyDescent="0.2">
      <c r="A46" s="83" t="s">
        <v>80</v>
      </c>
      <c r="B46" s="83">
        <f t="shared" ref="B46:U46" si="17">B22*12</f>
        <v>5.3182594732403735E-2</v>
      </c>
      <c r="C46" s="83">
        <f t="shared" si="17"/>
        <v>6.1655467694606447E-2</v>
      </c>
      <c r="D46" s="83">
        <f t="shared" si="17"/>
        <v>7.1247330920247723E-2</v>
      </c>
      <c r="E46" s="83">
        <f t="shared" si="17"/>
        <v>4.8772328580219793E-2</v>
      </c>
      <c r="F46" s="83">
        <f t="shared" si="17"/>
        <v>6.880924682970864E-2</v>
      </c>
      <c r="G46" s="83">
        <f t="shared" si="17"/>
        <v>5.4216673077054411E-2</v>
      </c>
      <c r="H46" s="83">
        <f t="shared" si="17"/>
        <v>6.4669975152281872E-2</v>
      </c>
      <c r="I46" s="83">
        <f t="shared" si="17"/>
        <v>3.5441943555807154E-2</v>
      </c>
      <c r="J46" s="83">
        <f t="shared" si="17"/>
        <v>4.7880492595580845E-2</v>
      </c>
      <c r="K46" s="83">
        <f t="shared" si="17"/>
        <v>4.2514604337622101E-2</v>
      </c>
      <c r="L46" s="83">
        <f t="shared" si="17"/>
        <v>3.6357461425867536E-2</v>
      </c>
      <c r="M46" s="83">
        <f t="shared" si="17"/>
        <v>6.0068463513381853E-2</v>
      </c>
      <c r="N46" s="83">
        <f t="shared" si="17"/>
        <v>5.5804715884686294E-2</v>
      </c>
      <c r="O46" s="83">
        <f t="shared" si="17"/>
        <v>8.4161854590632007E-4</v>
      </c>
      <c r="P46" s="83">
        <f t="shared" si="17"/>
        <v>1.759788319265029E-2</v>
      </c>
      <c r="Q46" s="83">
        <f t="shared" si="17"/>
        <v>1.5260170206251086E-2</v>
      </c>
      <c r="R46" s="83">
        <f t="shared" si="17"/>
        <v>2.7790885018104328E-2</v>
      </c>
      <c r="S46" s="84">
        <f t="shared" si="17"/>
        <v>0.14741749753956129</v>
      </c>
      <c r="T46" s="83">
        <f t="shared" si="17"/>
        <v>9.8182100249370713E-2</v>
      </c>
      <c r="U46" s="91">
        <f t="shared" si="17"/>
        <v>8.2883865483301053E-2</v>
      </c>
    </row>
    <row r="47" spans="1:21" x14ac:dyDescent="0.2">
      <c r="A47" s="83" t="s">
        <v>79</v>
      </c>
      <c r="B47" s="83">
        <f t="shared" ref="B47:U47" si="18">B23*12</f>
        <v>6.1420328439920596E-2</v>
      </c>
      <c r="C47" s="83">
        <f t="shared" si="18"/>
        <v>6.9095982203892306E-2</v>
      </c>
      <c r="D47" s="83">
        <f t="shared" si="18"/>
        <v>7.7025902975017727E-2</v>
      </c>
      <c r="E47" s="83">
        <f t="shared" si="18"/>
        <v>6.3809390142197886E-2</v>
      </c>
      <c r="F47" s="83">
        <f t="shared" si="18"/>
        <v>6.7942370930898666E-2</v>
      </c>
      <c r="G47" s="83">
        <f t="shared" si="18"/>
        <v>5.3797018333614922E-2</v>
      </c>
      <c r="H47" s="83">
        <f t="shared" si="18"/>
        <v>8.3083205985969466E-2</v>
      </c>
      <c r="I47" s="83">
        <f t="shared" si="18"/>
        <v>4.1915118784550093E-2</v>
      </c>
      <c r="J47" s="83">
        <f t="shared" si="18"/>
        <v>5.149837493755291E-2</v>
      </c>
      <c r="K47" s="83">
        <f t="shared" si="18"/>
        <v>5.9843534303914939E-2</v>
      </c>
      <c r="L47" s="83">
        <f t="shared" si="18"/>
        <v>4.3526200549036699E-2</v>
      </c>
      <c r="M47" s="83">
        <f t="shared" si="18"/>
        <v>5.4463768934174921E-2</v>
      </c>
      <c r="N47" s="83">
        <f t="shared" si="18"/>
        <v>5.8673932936651074E-2</v>
      </c>
      <c r="O47" s="83">
        <f t="shared" si="18"/>
        <v>5.844196384953192E-3</v>
      </c>
      <c r="P47" s="83">
        <f t="shared" si="18"/>
        <v>2.7000331027828475E-2</v>
      </c>
      <c r="Q47" s="83">
        <f t="shared" si="18"/>
        <v>2.9992533207037337E-2</v>
      </c>
      <c r="R47" s="83">
        <f t="shared" si="18"/>
        <v>4.153908388028283E-2</v>
      </c>
      <c r="S47" s="83">
        <f t="shared" si="18"/>
        <v>9.8182100249370713E-2</v>
      </c>
      <c r="T47" s="84">
        <f t="shared" si="18"/>
        <v>0.16293004088665869</v>
      </c>
      <c r="U47" s="91">
        <f t="shared" si="18"/>
        <v>9.7835063429397073E-2</v>
      </c>
    </row>
    <row r="48" spans="1:21" ht="17" thickBot="1" x14ac:dyDescent="0.25">
      <c r="A48" s="85" t="s">
        <v>47</v>
      </c>
      <c r="B48" s="85">
        <f t="shared" ref="B48:U48" si="19">B24*12</f>
        <v>5.1514363066903907E-2</v>
      </c>
      <c r="C48" s="85">
        <f t="shared" si="19"/>
        <v>5.859353477146631E-2</v>
      </c>
      <c r="D48" s="85">
        <f t="shared" si="19"/>
        <v>6.5129740696713137E-2</v>
      </c>
      <c r="E48" s="85">
        <f t="shared" si="19"/>
        <v>5.3788342980080381E-2</v>
      </c>
      <c r="F48" s="85">
        <f t="shared" si="19"/>
        <v>5.6047905072765865E-2</v>
      </c>
      <c r="G48" s="85">
        <f t="shared" si="19"/>
        <v>4.4946207270350175E-2</v>
      </c>
      <c r="H48" s="85">
        <f t="shared" si="19"/>
        <v>6.5777051155291422E-2</v>
      </c>
      <c r="I48" s="85">
        <f t="shared" si="19"/>
        <v>2.8212171606684905E-2</v>
      </c>
      <c r="J48" s="85">
        <f t="shared" si="19"/>
        <v>4.9551528888827079E-2</v>
      </c>
      <c r="K48" s="85">
        <f t="shared" si="19"/>
        <v>4.39279237479617E-2</v>
      </c>
      <c r="L48" s="85">
        <f t="shared" si="19"/>
        <v>4.1209939754655346E-2</v>
      </c>
      <c r="M48" s="85">
        <f t="shared" si="19"/>
        <v>5.4351351667283249E-2</v>
      </c>
      <c r="N48" s="85">
        <f t="shared" si="19"/>
        <v>5.4524799956323242E-2</v>
      </c>
      <c r="O48" s="85">
        <f t="shared" si="19"/>
        <v>6.3324383269749915E-3</v>
      </c>
      <c r="P48" s="85">
        <f t="shared" si="19"/>
        <v>2.0825203468310211E-2</v>
      </c>
      <c r="Q48" s="85">
        <f t="shared" si="19"/>
        <v>2.4184659683369122E-2</v>
      </c>
      <c r="R48" s="85">
        <f t="shared" si="19"/>
        <v>3.2667706484143369E-2</v>
      </c>
      <c r="S48" s="85">
        <f t="shared" si="19"/>
        <v>8.2883865483301053E-2</v>
      </c>
      <c r="T48" s="85">
        <f t="shared" si="19"/>
        <v>9.7835063429397073E-2</v>
      </c>
      <c r="U48" s="92">
        <f t="shared" si="19"/>
        <v>0.15837158725818595</v>
      </c>
    </row>
    <row r="50" spans="1:21" x14ac:dyDescent="0.2">
      <c r="C50" s="81" t="s">
        <v>83</v>
      </c>
      <c r="D50" s="81"/>
      <c r="E50" s="81"/>
      <c r="F50" s="81"/>
    </row>
    <row r="51" spans="1:21" ht="17" thickBot="1" x14ac:dyDescent="0.25"/>
    <row r="52" spans="1:21" x14ac:dyDescent="0.2">
      <c r="A52" s="82"/>
      <c r="B52" s="82" t="s">
        <v>77</v>
      </c>
      <c r="C52" s="82" t="s">
        <v>76</v>
      </c>
      <c r="D52" s="82" t="s">
        <v>75</v>
      </c>
      <c r="E52" s="82" t="s">
        <v>74</v>
      </c>
      <c r="F52" s="82" t="s">
        <v>73</v>
      </c>
      <c r="G52" s="82" t="s">
        <v>72</v>
      </c>
      <c r="H52" s="82" t="s">
        <v>71</v>
      </c>
      <c r="I52" s="82" t="s">
        <v>70</v>
      </c>
      <c r="J52" s="82" t="s">
        <v>68</v>
      </c>
      <c r="K52" s="82" t="s">
        <v>67</v>
      </c>
      <c r="L52" s="82" t="s">
        <v>66</v>
      </c>
      <c r="M52" s="82" t="s">
        <v>65</v>
      </c>
      <c r="N52" s="82" t="s">
        <v>64</v>
      </c>
      <c r="O52" s="82" t="s">
        <v>62</v>
      </c>
      <c r="P52" s="82" t="s">
        <v>61</v>
      </c>
      <c r="Q52" s="82" t="s">
        <v>60</v>
      </c>
      <c r="R52" s="82" t="s">
        <v>59</v>
      </c>
      <c r="S52" s="82" t="s">
        <v>80</v>
      </c>
      <c r="T52" s="82" t="s">
        <v>79</v>
      </c>
      <c r="U52" s="87" t="s">
        <v>47</v>
      </c>
    </row>
    <row r="53" spans="1:21" x14ac:dyDescent="0.2">
      <c r="A53" s="83" t="s">
        <v>77</v>
      </c>
      <c r="B53" s="88">
        <f>B29*1.25</f>
        <v>4.409943746432364E-2</v>
      </c>
      <c r="C53" s="89">
        <v>5.3868107800340563E-2</v>
      </c>
      <c r="D53" s="89">
        <v>6.0435001681476246E-2</v>
      </c>
      <c r="E53" s="89">
        <v>5.7871390442370635E-2</v>
      </c>
      <c r="F53" s="89">
        <v>5.7311911999871845E-2</v>
      </c>
      <c r="G53" s="89">
        <v>4.5591696412480183E-2</v>
      </c>
      <c r="H53" s="89">
        <v>6.2637667679172462E-2</v>
      </c>
      <c r="I53" s="89">
        <v>4.08433515142025E-2</v>
      </c>
      <c r="J53" s="89">
        <v>4.7843095986149789E-2</v>
      </c>
      <c r="K53" s="89">
        <v>4.5994123653760773E-2</v>
      </c>
      <c r="L53" s="89">
        <v>3.7924792378773747E-2</v>
      </c>
      <c r="M53" s="89">
        <v>5.0488244819196643E-2</v>
      </c>
      <c r="N53" s="89">
        <v>4.8093760882403976E-2</v>
      </c>
      <c r="O53" s="89">
        <v>9.7003071988946681E-3</v>
      </c>
      <c r="P53" s="89">
        <v>2.1048605610347305E-2</v>
      </c>
      <c r="Q53" s="89">
        <v>2.3809894348728742E-2</v>
      </c>
      <c r="R53" s="89">
        <v>3.1161734555410055E-2</v>
      </c>
      <c r="S53" s="89">
        <v>9.9072469593127335E-2</v>
      </c>
      <c r="T53" s="89">
        <v>0.10415474375192592</v>
      </c>
      <c r="U53" s="90">
        <v>0.10268738779428094</v>
      </c>
    </row>
    <row r="54" spans="1:21" x14ac:dyDescent="0.2">
      <c r="A54" s="83" t="s">
        <v>76</v>
      </c>
      <c r="B54" s="83">
        <f>1.25*MAX(B30,0,'Correlation Matrix'!$B$44*SQRT('Covariance Matrix'!$B$53*C54))</f>
        <v>5.3868107800340563E-2</v>
      </c>
      <c r="C54" s="84">
        <f>C30*1.25</f>
        <v>5.4477417422800781E-2</v>
      </c>
      <c r="D54" s="83">
        <v>6.7170761102029991E-2</v>
      </c>
      <c r="E54" s="83">
        <v>6.4321423577262088E-2</v>
      </c>
      <c r="F54" s="83">
        <v>6.3699588684282493E-2</v>
      </c>
      <c r="G54" s="83">
        <v>5.0673101063181396E-2</v>
      </c>
      <c r="H54" s="83">
        <v>6.9618924375005733E-2</v>
      </c>
      <c r="I54" s="83">
        <v>4.5395531245722237E-2</v>
      </c>
      <c r="J54" s="83">
        <v>5.3175429493736021E-2</v>
      </c>
      <c r="K54" s="83">
        <v>5.1120380674878556E-2</v>
      </c>
      <c r="L54" s="83">
        <v>4.21516852459939E-2</v>
      </c>
      <c r="M54" s="83">
        <v>5.6115392353013355E-2</v>
      </c>
      <c r="N54" s="83">
        <v>5.3454032147736037E-2</v>
      </c>
      <c r="O54" s="83">
        <v>1.0781451135012847E-2</v>
      </c>
      <c r="P54" s="83">
        <v>2.3394569697130364E-2</v>
      </c>
      <c r="Q54" s="83">
        <v>2.6463616789361946E-2</v>
      </c>
      <c r="R54" s="83">
        <v>3.4634853464195217E-2</v>
      </c>
      <c r="S54" s="83">
        <v>0.11011455285303352</v>
      </c>
      <c r="T54" s="83">
        <v>0.11576326988583729</v>
      </c>
      <c r="U54" s="91">
        <v>0.11413237034516896</v>
      </c>
    </row>
    <row r="55" spans="1:21" x14ac:dyDescent="0.2">
      <c r="A55" s="83" t="s">
        <v>75</v>
      </c>
      <c r="B55" s="83">
        <f>1.25*MAX(B31,0,'Correlation Matrix'!$B$44*SQRT('Covariance Matrix'!$B$53*D55))</f>
        <v>6.0435001681476246E-2</v>
      </c>
      <c r="C55" s="83">
        <f>1.25*MAX(C31,0,'Correlation Matrix'!$B$44*SQRT('Covariance Matrix'!$C$54*D55))</f>
        <v>6.7170761102029991E-2</v>
      </c>
      <c r="D55" s="84">
        <f>D31*1.25</f>
        <v>6.8569368061515423E-2</v>
      </c>
      <c r="E55" s="83">
        <v>7.2162648750439387E-2</v>
      </c>
      <c r="F55" s="83">
        <v>7.1465007895072541E-2</v>
      </c>
      <c r="G55" s="83">
        <v>5.6850501586388047E-2</v>
      </c>
      <c r="H55" s="83">
        <v>7.810595143346466E-2</v>
      </c>
      <c r="I55" s="83">
        <v>5.0929559607612335E-2</v>
      </c>
      <c r="J55" s="83">
        <v>5.9657881111740863E-2</v>
      </c>
      <c r="K55" s="83">
        <v>5.7352307667737676E-2</v>
      </c>
      <c r="L55" s="83">
        <v>4.7290266406992555E-2</v>
      </c>
      <c r="M55" s="83">
        <v>6.2956245721139309E-2</v>
      </c>
      <c r="N55" s="83">
        <v>5.9970447350847701E-2</v>
      </c>
      <c r="O55" s="83">
        <v>1.209578439042806E-2</v>
      </c>
      <c r="P55" s="83">
        <v>2.624652910074091E-2</v>
      </c>
      <c r="Q55" s="83">
        <v>2.9689714201413274E-2</v>
      </c>
      <c r="R55" s="83">
        <v>3.8857080985738437E-2</v>
      </c>
      <c r="S55" s="83">
        <v>0.12353827633028559</v>
      </c>
      <c r="T55" s="83">
        <v>0.12987561092984104</v>
      </c>
      <c r="U55" s="91">
        <v>0.12804589348648976</v>
      </c>
    </row>
    <row r="56" spans="1:21" x14ac:dyDescent="0.2">
      <c r="A56" s="83" t="s">
        <v>74</v>
      </c>
      <c r="B56" s="83">
        <f>1.25*MAX(B32,0,'Correlation Matrix'!$B$44*SQRT('Covariance Matrix'!$B$53*E56))</f>
        <v>5.7871390442370635E-2</v>
      </c>
      <c r="C56" s="83">
        <f>1.25*MAX(C32,0,'Correlation Matrix'!$B$44*SQRT('Covariance Matrix'!$C$54*E56))</f>
        <v>6.4321423577262088E-2</v>
      </c>
      <c r="D56" s="83">
        <f>1.25*MAX(D32,0,'Correlation Matrix'!$B$44*SQRT('Covariance Matrix'!$D$55*E56))</f>
        <v>7.2162648750439387E-2</v>
      </c>
      <c r="E56" s="84">
        <f>E32*1.25</f>
        <v>6.2875420710217872E-2</v>
      </c>
      <c r="F56" s="83">
        <v>6.8433511372441802E-2</v>
      </c>
      <c r="G56" s="83">
        <v>5.4438942377971138E-2</v>
      </c>
      <c r="H56" s="83">
        <v>7.4792750649733411E-2</v>
      </c>
      <c r="I56" s="83">
        <v>4.8769162688937426E-2</v>
      </c>
      <c r="J56" s="83">
        <v>5.7127234793149594E-2</v>
      </c>
      <c r="K56" s="83">
        <v>5.4919462190201752E-2</v>
      </c>
      <c r="L56" s="83">
        <v>4.5284245804887997E-2</v>
      </c>
      <c r="M56" s="83">
        <v>6.0285685042523886E-2</v>
      </c>
      <c r="N56" s="83">
        <v>5.7426542187195707E-2</v>
      </c>
      <c r="O56" s="83">
        <v>1.1582689529067214E-2</v>
      </c>
      <c r="P56" s="83">
        <v>2.5133169373462282E-2</v>
      </c>
      <c r="Q56" s="83">
        <v>2.843029692839439E-2</v>
      </c>
      <c r="R56" s="83">
        <v>3.720879031373852E-2</v>
      </c>
      <c r="S56" s="83">
        <v>0.11829786754649423</v>
      </c>
      <c r="T56" s="83">
        <v>0.12436637676748809</v>
      </c>
      <c r="U56" s="91">
        <v>0.12261427468066291</v>
      </c>
    </row>
    <row r="57" spans="1:21" x14ac:dyDescent="0.2">
      <c r="A57" s="83" t="s">
        <v>73</v>
      </c>
      <c r="B57" s="83">
        <f>1.25*MAX(B33,0,'Correlation Matrix'!$B$44*SQRT('Covariance Matrix'!$B$53*F57))</f>
        <v>5.7311911999871845E-2</v>
      </c>
      <c r="C57" s="83">
        <f>1.25*MAX(C33,0,'Correlation Matrix'!$B$44*SQRT('Covariance Matrix'!$C$54*F57))</f>
        <v>6.3699588684282493E-2</v>
      </c>
      <c r="D57" s="83">
        <f>1.25*MAX(D33,0,'Correlation Matrix'!$B$44*SQRT('Covariance Matrix'!$D$55*F57))</f>
        <v>7.1465007895072541E-2</v>
      </c>
      <c r="E57" s="83">
        <f>1.25*MAX(E33,0,'Correlation Matrix'!$B$44*SQRT('Covariance Matrix'!$E$56*F57))</f>
        <v>6.8433511372441802E-2</v>
      </c>
      <c r="F57" s="84">
        <f>F33*1.25</f>
        <v>6.166558624240448E-2</v>
      </c>
      <c r="G57" s="83">
        <v>5.391264752899496E-2</v>
      </c>
      <c r="H57" s="83">
        <v>7.4069682976331236E-2</v>
      </c>
      <c r="I57" s="83">
        <v>4.8297681098904637E-2</v>
      </c>
      <c r="J57" s="83">
        <v>5.6574950562513007E-2</v>
      </c>
      <c r="K57" s="83">
        <v>5.4388521859683119E-2</v>
      </c>
      <c r="L57" s="83">
        <v>4.4846455056834683E-2</v>
      </c>
      <c r="M57" s="83">
        <v>5.9702866124320228E-2</v>
      </c>
      <c r="N57" s="83">
        <v>5.6871364367285238E-2</v>
      </c>
      <c r="O57" s="83">
        <v>1.1470712521980737E-2</v>
      </c>
      <c r="P57" s="83">
        <v>2.4890191516033298E-2</v>
      </c>
      <c r="Q57" s="83">
        <v>2.8155443704310959E-2</v>
      </c>
      <c r="R57" s="83">
        <v>3.6849069977094376E-2</v>
      </c>
      <c r="S57" s="83">
        <v>0.11715420906205276</v>
      </c>
      <c r="T57" s="83">
        <v>0.12316405025967105</v>
      </c>
      <c r="U57" s="91">
        <v>0.12142888682490074</v>
      </c>
    </row>
    <row r="58" spans="1:21" x14ac:dyDescent="0.2">
      <c r="A58" s="83" t="s">
        <v>72</v>
      </c>
      <c r="B58" s="83">
        <f>1.25*MAX(B34,0,'Correlation Matrix'!$B$44*SQRT('Covariance Matrix'!$B$53*G58))</f>
        <v>4.5591696412480183E-2</v>
      </c>
      <c r="C58" s="83">
        <f>1.25*MAX(C34,0,'Correlation Matrix'!$B$44*SQRT('Covariance Matrix'!$C$54*G58))</f>
        <v>5.0673101063181396E-2</v>
      </c>
      <c r="D58" s="83">
        <f>1.25*MAX(D34,0,'Correlation Matrix'!$B$44*SQRT('Covariance Matrix'!$D$55*G58))</f>
        <v>5.6850501586388047E-2</v>
      </c>
      <c r="E58" s="83">
        <f>1.25*MAX(E34,0,'Correlation Matrix'!$B$44*SQRT('Covariance Matrix'!$E$56*G58))</f>
        <v>5.4438942377971138E-2</v>
      </c>
      <c r="F58" s="83">
        <f>1.25*MAX(F34,0,'Correlation Matrix'!$B$44*SQRT('Covariance Matrix'!$F$57*G58))</f>
        <v>5.391264752899496E-2</v>
      </c>
      <c r="G58" s="84">
        <f>G34*1.25</f>
        <v>3.9023352245711337E-2</v>
      </c>
      <c r="H58" s="83">
        <v>5.8922523813777071E-2</v>
      </c>
      <c r="I58" s="83">
        <v>3.8420864655378556E-2</v>
      </c>
      <c r="J58" s="83">
        <v>4.5005442683589678E-2</v>
      </c>
      <c r="K58" s="83">
        <v>4.3266135964121377E-2</v>
      </c>
      <c r="L58" s="83">
        <v>3.5675410098544871E-2</v>
      </c>
      <c r="M58" s="83">
        <v>4.7493703356137215E-2</v>
      </c>
      <c r="N58" s="83">
        <v>4.524124022947635E-2</v>
      </c>
      <c r="O58" s="83">
        <v>9.124965904786949E-3</v>
      </c>
      <c r="P58" s="83">
        <v>1.9800177932469208E-2</v>
      </c>
      <c r="Q58" s="83">
        <v>2.2397690060113367E-2</v>
      </c>
      <c r="R58" s="83">
        <v>2.9313480441582218E-2</v>
      </c>
      <c r="S58" s="83">
        <v>9.319631725099814E-2</v>
      </c>
      <c r="T58" s="83">
        <v>9.7977153307726467E-2</v>
      </c>
      <c r="U58" s="91">
        <v>9.6596828663449014E-2</v>
      </c>
    </row>
    <row r="59" spans="1:21" x14ac:dyDescent="0.2">
      <c r="A59" s="83" t="s">
        <v>71</v>
      </c>
      <c r="B59" s="83">
        <f>1.25*MAX(B35,0,'Correlation Matrix'!$B$44*SQRT('Covariance Matrix'!$B$53*H59))</f>
        <v>6.2637667679172462E-2</v>
      </c>
      <c r="C59" s="83">
        <f>1.25*MAX(C35,0,'Correlation Matrix'!$B$44*SQRT('Covariance Matrix'!$C$54*H59))</f>
        <v>6.9618924375005733E-2</v>
      </c>
      <c r="D59" s="83">
        <f>1.25*MAX(D35,0,'Correlation Matrix'!$B$44*SQRT('Covariance Matrix'!$D$55*H59))</f>
        <v>7.810595143346466E-2</v>
      </c>
      <c r="E59" s="83">
        <f>1.25*MAX(E35,0,'Correlation Matrix'!$B$44*SQRT('Covariance Matrix'!$E$56*H59))</f>
        <v>7.4792750649733411E-2</v>
      </c>
      <c r="F59" s="83">
        <f>1.25*MAX(F35,0,'Correlation Matrix'!$B$44*SQRT('Covariance Matrix'!$F$57*H59))</f>
        <v>7.4069682976331236E-2</v>
      </c>
      <c r="G59" s="83">
        <f>1.25*MAX(G35,0,'Correlation Matrix'!$B$44*SQRT('Covariance Matrix'!$G$58*H59))</f>
        <v>5.8922523813777071E-2</v>
      </c>
      <c r="H59" s="84">
        <f>H35*1.25</f>
        <v>7.365873000397663E-2</v>
      </c>
      <c r="I59" s="83">
        <v>5.2785782096304919E-2</v>
      </c>
      <c r="J59" s="83">
        <v>6.1832223505442027E-2</v>
      </c>
      <c r="K59" s="83">
        <v>5.9442619150724824E-2</v>
      </c>
      <c r="L59" s="83">
        <v>4.9013848088774903E-2</v>
      </c>
      <c r="M59" s="83">
        <v>6.5250803145385478E-2</v>
      </c>
      <c r="N59" s="83">
        <v>6.215618180225968E-2</v>
      </c>
      <c r="O59" s="83">
        <v>1.2536637741151584E-2</v>
      </c>
      <c r="P59" s="83">
        <v>2.7203132651650811E-2</v>
      </c>
      <c r="Q59" s="83">
        <v>3.0771811034924504E-2</v>
      </c>
      <c r="R59" s="83">
        <v>4.0273299545772787E-2</v>
      </c>
      <c r="S59" s="83">
        <v>0.12804085849485472</v>
      </c>
      <c r="T59" s="83">
        <v>0.13460916903633263</v>
      </c>
      <c r="U59" s="91">
        <v>0.13271276413892777</v>
      </c>
    </row>
    <row r="60" spans="1:21" x14ac:dyDescent="0.2">
      <c r="A60" s="83" t="s">
        <v>70</v>
      </c>
      <c r="B60" s="83">
        <f>1.25*MAX(B36,0,'Correlation Matrix'!$B$44*SQRT('Covariance Matrix'!$B$53*I60))</f>
        <v>4.08433515142025E-2</v>
      </c>
      <c r="C60" s="83">
        <f>1.25*MAX(C36,0,'Correlation Matrix'!$B$44*SQRT('Covariance Matrix'!$C$54*I60))</f>
        <v>4.5395531245722237E-2</v>
      </c>
      <c r="D60" s="83">
        <f>1.25*MAX(D36,0,'Correlation Matrix'!$B$44*SQRT('Covariance Matrix'!$D$55*I60))</f>
        <v>5.0929559607612335E-2</v>
      </c>
      <c r="E60" s="83">
        <f>1.25*MAX(E36,0,'Correlation Matrix'!$B$44*SQRT('Covariance Matrix'!$E$56*I60))</f>
        <v>4.8769162688937426E-2</v>
      </c>
      <c r="F60" s="83">
        <f>1.25*MAX(F36,0,'Correlation Matrix'!$B$44*SQRT('Covariance Matrix'!$F$57*I60))</f>
        <v>4.8297681098904637E-2</v>
      </c>
      <c r="G60" s="83">
        <f>1.25*MAX(G36,0,'Correlation Matrix'!$B$44*SQRT('Covariance Matrix'!$G$58*I60))</f>
        <v>3.8420864655378556E-2</v>
      </c>
      <c r="H60" s="83">
        <f>1.25*MAX(H36,0,'Correlation Matrix'!$B$44*SQRT('Covariance Matrix'!$H$59*I60))</f>
        <v>5.2785782096304919E-2</v>
      </c>
      <c r="I60" s="84">
        <f>I36*1.25</f>
        <v>3.1318129398732963E-2</v>
      </c>
      <c r="J60" s="83">
        <v>4.0318155721772365E-2</v>
      </c>
      <c r="K60" s="83">
        <v>3.8759996641848059E-2</v>
      </c>
      <c r="L60" s="83">
        <v>3.1959839833231855E-2</v>
      </c>
      <c r="M60" s="83">
        <v>4.2547265698035623E-2</v>
      </c>
      <c r="N60" s="83">
        <v>4.0529395109877263E-2</v>
      </c>
      <c r="O60" s="83">
        <v>8.1746067668213764E-3</v>
      </c>
      <c r="P60" s="83">
        <v>1.7738002552548624E-2</v>
      </c>
      <c r="Q60" s="83">
        <v>2.006498551742758E-2</v>
      </c>
      <c r="R60" s="83">
        <v>2.6260500924297846E-2</v>
      </c>
      <c r="S60" s="83">
        <v>8.3489982712502936E-2</v>
      </c>
      <c r="T60" s="83">
        <v>8.7772897869467292E-2</v>
      </c>
      <c r="U60" s="91">
        <v>8.6536333120047076E-2</v>
      </c>
    </row>
    <row r="61" spans="1:21" x14ac:dyDescent="0.2">
      <c r="A61" s="83" t="s">
        <v>68</v>
      </c>
      <c r="B61" s="83">
        <f>1.25*MAX(B37,0,'Correlation Matrix'!$B$44*SQRT('Covariance Matrix'!$B$53*J61))</f>
        <v>4.7843095986149789E-2</v>
      </c>
      <c r="C61" s="83">
        <f>1.25*MAX(C37,0,'Correlation Matrix'!$B$44*SQRT('Covariance Matrix'!$C$54*J61))</f>
        <v>5.3175429493736021E-2</v>
      </c>
      <c r="D61" s="83">
        <f>1.25*MAX(D37,0,'Correlation Matrix'!$B$44*SQRT('Covariance Matrix'!$D$55*J61))</f>
        <v>5.9657881111740863E-2</v>
      </c>
      <c r="E61" s="83">
        <f>1.25*MAX(E37,0,'Correlation Matrix'!$B$44*SQRT('Covariance Matrix'!$E$56*J61))</f>
        <v>5.7127234793149594E-2</v>
      </c>
      <c r="F61" s="83">
        <f>1.25*MAX(F37,0,'Correlation Matrix'!$B$44*SQRT('Covariance Matrix'!$F$57*J61))</f>
        <v>5.6574950562513007E-2</v>
      </c>
      <c r="G61" s="83">
        <f>1.25*MAX(G37,0,'Correlation Matrix'!$B$44*SQRT('Covariance Matrix'!$G$58*J61))</f>
        <v>4.5005442683589678E-2</v>
      </c>
      <c r="H61" s="83">
        <f>1.25*MAX(H37,0,'Correlation Matrix'!$B$44*SQRT('Covariance Matrix'!$H$59*J61))</f>
        <v>6.1832223505442027E-2</v>
      </c>
      <c r="I61" s="83">
        <f>1.25*MAX(I37,0,'Correlation Matrix'!$B$44*SQRT('Covariance Matrix'!$I$60*J61))</f>
        <v>4.0318155721772365E-2</v>
      </c>
      <c r="J61" s="84">
        <f>J37*1.52</f>
        <v>4.297259904138747E-2</v>
      </c>
      <c r="K61" s="83">
        <v>4.5402695200317943E-2</v>
      </c>
      <c r="L61" s="83">
        <v>3.7437125704818441E-2</v>
      </c>
      <c r="M61" s="83">
        <v>4.9839027437097033E-2</v>
      </c>
      <c r="N61" s="83">
        <v>4.7475333649545856E-2</v>
      </c>
      <c r="O61" s="83">
        <v>9.5755730539906249E-3</v>
      </c>
      <c r="P61" s="83">
        <v>2.077794615921897E-2</v>
      </c>
      <c r="Q61" s="83">
        <v>2.3503728085027042E-2</v>
      </c>
      <c r="R61" s="83">
        <v>3.0761032574143036E-2</v>
      </c>
      <c r="S61" s="83">
        <v>9.7798518209439328E-2</v>
      </c>
      <c r="T61" s="83">
        <v>0.10281544050789293</v>
      </c>
      <c r="U61" s="91">
        <v>0.1013669529620306</v>
      </c>
    </row>
    <row r="62" spans="1:21" x14ac:dyDescent="0.2">
      <c r="A62" s="83" t="s">
        <v>67</v>
      </c>
      <c r="B62" s="83">
        <f>1.25*MAX(B38,0,'Correlation Matrix'!$B$44*SQRT('Covariance Matrix'!$B$53*K62))</f>
        <v>4.5994123653760773E-2</v>
      </c>
      <c r="C62" s="83">
        <f>1.25*MAX(C38,0,'Correlation Matrix'!$B$44*SQRT('Covariance Matrix'!$C$54*K62))</f>
        <v>5.1120380674878556E-2</v>
      </c>
      <c r="D62" s="83">
        <f>1.25*MAX(D38,0,'Correlation Matrix'!$B$44*SQRT('Covariance Matrix'!$D$55*K62))</f>
        <v>5.7352307667737676E-2</v>
      </c>
      <c r="E62" s="83">
        <f>1.25*MAX(E38,0,'Correlation Matrix'!$B$44*SQRT('Covariance Matrix'!$E$56*K62))</f>
        <v>5.4919462190201752E-2</v>
      </c>
      <c r="F62" s="83">
        <f>1.25*MAX(F38,0,'Correlation Matrix'!$B$44*SQRT('Covariance Matrix'!$F$57*K62))</f>
        <v>5.4388521859683119E-2</v>
      </c>
      <c r="G62" s="83">
        <f>1.25*MAX(G38,0,'Correlation Matrix'!$B$44*SQRT('Covariance Matrix'!$G$58*K62))</f>
        <v>4.3266135964121377E-2</v>
      </c>
      <c r="H62" s="83">
        <f>1.25*MAX(H38,0,'Correlation Matrix'!$B$44*SQRT('Covariance Matrix'!$H$59*K62))</f>
        <v>5.9442619150724824E-2</v>
      </c>
      <c r="I62" s="83">
        <f>1.25*MAX(I38,0,'Correlation Matrix'!$B$44*SQRT('Covariance Matrix'!$I$60*K62))</f>
        <v>3.8759996641848059E-2</v>
      </c>
      <c r="J62" s="83">
        <f>1.25*MAX(J38,0,'Correlation Matrix'!$B$44*SQRT('Covariance Matrix'!$J$61*K62))</f>
        <v>4.5402695200317943E-2</v>
      </c>
      <c r="K62" s="84">
        <f>K38*1.25</f>
        <v>3.9715292632372744E-2</v>
      </c>
      <c r="L62" s="83">
        <v>3.5990308599746099E-2</v>
      </c>
      <c r="M62" s="83">
        <v>4.7912919167869494E-2</v>
      </c>
      <c r="N62" s="83">
        <v>4.564057407599402E-2</v>
      </c>
      <c r="O62" s="83">
        <v>9.2055098446882019E-3</v>
      </c>
      <c r="P62" s="83">
        <v>1.9974949472228092E-2</v>
      </c>
      <c r="Q62" s="83">
        <v>2.2595389231918742E-2</v>
      </c>
      <c r="R62" s="83">
        <v>2.9572223677624857E-2</v>
      </c>
      <c r="S62" s="83">
        <v>9.4018939346686689E-2</v>
      </c>
      <c r="T62" s="83">
        <v>9.8841974725149342E-2</v>
      </c>
      <c r="U62" s="91">
        <v>9.7449466278066166E-2</v>
      </c>
    </row>
    <row r="63" spans="1:21" x14ac:dyDescent="0.2">
      <c r="A63" s="83" t="s">
        <v>66</v>
      </c>
      <c r="B63" s="83">
        <f>1.25*MAX(B39,0,'Correlation Matrix'!$B$44*SQRT('Covariance Matrix'!$B$53*L63))</f>
        <v>3.7924792378773747E-2</v>
      </c>
      <c r="C63" s="83">
        <f>1.25*MAX(C39,0,'Correlation Matrix'!$B$44*SQRT('Covariance Matrix'!$C$54*L63))</f>
        <v>4.21516852459939E-2</v>
      </c>
      <c r="D63" s="83">
        <f>1.25*MAX(D39,0,'Correlation Matrix'!$B$44*SQRT('Covariance Matrix'!$D$55*L63))</f>
        <v>4.7290266406992555E-2</v>
      </c>
      <c r="E63" s="83">
        <f>1.25*MAX(E39,0,'Correlation Matrix'!$B$44*SQRT('Covariance Matrix'!$E$56*L63))</f>
        <v>4.5284245804887997E-2</v>
      </c>
      <c r="F63" s="83">
        <f>1.25*MAX(F39,0,'Correlation Matrix'!$B$44*SQRT('Covariance Matrix'!$F$57*L63))</f>
        <v>4.4846455056834683E-2</v>
      </c>
      <c r="G63" s="83">
        <f>1.25*MAX(G39,0,'Correlation Matrix'!$B$44*SQRT('Covariance Matrix'!$G$58*L63))</f>
        <v>3.5675410098544871E-2</v>
      </c>
      <c r="H63" s="83">
        <f>1.25*MAX(H39,0,'Correlation Matrix'!$B$44*SQRT('Covariance Matrix'!$H$59*L63))</f>
        <v>4.9013848088774903E-2</v>
      </c>
      <c r="I63" s="83">
        <f>1.25*MAX(I39,0,'Correlation Matrix'!$B$44*SQRT('Covariance Matrix'!$I$60*L63))</f>
        <v>3.1959839833231855E-2</v>
      </c>
      <c r="J63" s="83">
        <f>1.25*MAX(J39,0,'Correlation Matrix'!$B$44*SQRT('Covariance Matrix'!$J$61*L63))</f>
        <v>3.7437125704818441E-2</v>
      </c>
      <c r="K63" s="83">
        <f>1.25*MAX(K39,0,'Correlation Matrix'!$B$44*SQRT('Covariance Matrix'!$K$62*L63))</f>
        <v>3.5990308599746099E-2</v>
      </c>
      <c r="L63" s="84">
        <f>L39*1.25</f>
        <v>2.7002221392597447E-2</v>
      </c>
      <c r="M63" s="83">
        <v>3.9506949309030759E-2</v>
      </c>
      <c r="N63" s="83">
        <v>3.7633270478425261E-2</v>
      </c>
      <c r="O63" s="83">
        <v>7.5904707355373578E-3</v>
      </c>
      <c r="P63" s="83">
        <v>1.6470491256958753E-2</v>
      </c>
      <c r="Q63" s="83">
        <v>1.8631194101858498E-2</v>
      </c>
      <c r="R63" s="83">
        <v>2.4383994172718124E-2</v>
      </c>
      <c r="S63" s="83">
        <v>7.7524006789159994E-2</v>
      </c>
      <c r="T63" s="83">
        <v>8.1500876024469801E-2</v>
      </c>
      <c r="U63" s="91">
        <v>8.0352672959685456E-2</v>
      </c>
    </row>
    <row r="64" spans="1:21" x14ac:dyDescent="0.2">
      <c r="A64" s="83" t="s">
        <v>65</v>
      </c>
      <c r="B64" s="83">
        <f>1.25*MAX(B40,0,'Correlation Matrix'!$B$44*SQRT('Covariance Matrix'!$B$53*M64))</f>
        <v>5.0488244819196643E-2</v>
      </c>
      <c r="C64" s="83">
        <f>1.25*MAX(C40,0,'Correlation Matrix'!$B$44*SQRT('Covariance Matrix'!$C$54*M64))</f>
        <v>5.6115392353013355E-2</v>
      </c>
      <c r="D64" s="83">
        <f>1.25*MAX(D40,0,'Correlation Matrix'!$B$44*SQRT('Covariance Matrix'!$D$55*M64))</f>
        <v>6.2956245721139309E-2</v>
      </c>
      <c r="E64" s="83">
        <f>1.25*MAX(E40,0,'Correlation Matrix'!$B$44*SQRT('Covariance Matrix'!$E$56*M64))</f>
        <v>6.0285685042523886E-2</v>
      </c>
      <c r="F64" s="83">
        <f>1.25*MAX(F40,0,'Correlation Matrix'!$B$44*SQRT('Covariance Matrix'!$F$57*M64))</f>
        <v>5.9702866124320228E-2</v>
      </c>
      <c r="G64" s="83">
        <f>1.25*MAX(G40,0,'Correlation Matrix'!$B$44*SQRT('Covariance Matrix'!$G$58*M64))</f>
        <v>4.7493703356137215E-2</v>
      </c>
      <c r="H64" s="83">
        <f>1.25*MAX(H40,0,'Correlation Matrix'!$B$44*SQRT('Covariance Matrix'!$H$59*M64))</f>
        <v>6.5250803145385478E-2</v>
      </c>
      <c r="I64" s="83">
        <f>1.25*MAX(I40,0,'Correlation Matrix'!$B$44*SQRT('Covariance Matrix'!$I$60*M64))</f>
        <v>4.2547265698035623E-2</v>
      </c>
      <c r="J64" s="83">
        <f>1.25*MAX(J40,0,'Correlation Matrix'!$B$44*SQRT('Covariance Matrix'!$J$61*M64))</f>
        <v>4.9839027437097033E-2</v>
      </c>
      <c r="K64" s="83">
        <f>1.25*MAX(K40,0,'Correlation Matrix'!$B$44*SQRT('Covariance Matrix'!$K$62*M64))</f>
        <v>4.7912919167869494E-2</v>
      </c>
      <c r="L64" s="83">
        <f>1.25*MAX(L40,0,'Correlation Matrix'!$B$44*SQRT('Covariance Matrix'!$L$63*M64))</f>
        <v>3.9506949309030759E-2</v>
      </c>
      <c r="M64" s="84">
        <f>M40*1.25</f>
        <v>4.7855693712562243E-2</v>
      </c>
      <c r="N64" s="83">
        <v>5.010014964050849E-2</v>
      </c>
      <c r="O64" s="83">
        <v>1.0104987285395103E-2</v>
      </c>
      <c r="P64" s="83">
        <v>2.1926717134493623E-2</v>
      </c>
      <c r="Q64" s="83">
        <v>2.4803202076726028E-2</v>
      </c>
      <c r="R64" s="83">
        <v>3.2461748377325288E-2</v>
      </c>
      <c r="S64" s="83">
        <v>0.10320560215714829</v>
      </c>
      <c r="T64" s="83">
        <v>0.10849990002860166</v>
      </c>
      <c r="U64" s="91">
        <v>0.10697132851110985</v>
      </c>
    </row>
    <row r="65" spans="1:21" x14ac:dyDescent="0.2">
      <c r="A65" s="83" t="s">
        <v>64</v>
      </c>
      <c r="B65" s="83">
        <f>1.25*MAX(B41,0,'Correlation Matrix'!$B$44*SQRT('Covariance Matrix'!$B$53*N65))</f>
        <v>4.8093760882403976E-2</v>
      </c>
      <c r="C65" s="83">
        <f>1.25*MAX(C41,0,'Correlation Matrix'!$B$44*SQRT('Covariance Matrix'!$C$54*N65))</f>
        <v>5.3454032147736037E-2</v>
      </c>
      <c r="D65" s="83">
        <f>1.25*MAX(D41,0,'Correlation Matrix'!$B$44*SQRT('Covariance Matrix'!$D$55*N65))</f>
        <v>5.9970447350847701E-2</v>
      </c>
      <c r="E65" s="83">
        <f>1.25*MAX(E41,0,'Correlation Matrix'!$B$44*SQRT('Covariance Matrix'!$E$56*N65))</f>
        <v>5.7426542187195707E-2</v>
      </c>
      <c r="F65" s="83">
        <f>1.25*MAX(F41,0,'Correlation Matrix'!$B$44*SQRT('Covariance Matrix'!$F$57*N65))</f>
        <v>5.6871364367285238E-2</v>
      </c>
      <c r="G65" s="83">
        <f>1.25*MAX(G41,0,'Correlation Matrix'!$B$44*SQRT('Covariance Matrix'!$G$58*N65))</f>
        <v>4.524124022947635E-2</v>
      </c>
      <c r="H65" s="83">
        <f>1.25*MAX(H41,0,'Correlation Matrix'!$B$44*SQRT('Covariance Matrix'!$H$59*N65))</f>
        <v>6.215618180225968E-2</v>
      </c>
      <c r="I65" s="83">
        <f>1.25*MAX(I41,0,'Correlation Matrix'!$B$44*SQRT('Covariance Matrix'!$I$60*N65))</f>
        <v>4.0529395109877263E-2</v>
      </c>
      <c r="J65" s="83">
        <f>1.25*MAX(J41,0,'Correlation Matrix'!$B$44*SQRT('Covariance Matrix'!$J$61*N65))</f>
        <v>4.7475333649545856E-2</v>
      </c>
      <c r="K65" s="83">
        <f>1.25*MAX(K41,0,'Correlation Matrix'!$B$44*SQRT('Covariance Matrix'!$K$62*N65))</f>
        <v>4.564057407599402E-2</v>
      </c>
      <c r="L65" s="83">
        <f>1.25*MAX(L41,0,'Correlation Matrix'!$B$44*SQRT('Covariance Matrix'!$L$63*N65))</f>
        <v>3.7633270478425261E-2</v>
      </c>
      <c r="M65" s="83">
        <f>1.25*MAX(M41,0,'Correlation Matrix'!$B$44*SQRT('Covariance Matrix'!$M$64*N65))</f>
        <v>5.010014964050849E-2</v>
      </c>
      <c r="N65" s="84">
        <f>N41*1.25</f>
        <v>4.3424072344402237E-2</v>
      </c>
      <c r="O65" s="83">
        <v>9.6257424666650829E-3</v>
      </c>
      <c r="P65" s="83">
        <v>2.0886808297235354E-2</v>
      </c>
      <c r="Q65" s="83">
        <v>2.3626871444389182E-2</v>
      </c>
      <c r="R65" s="83">
        <v>3.0922199214385153E-2</v>
      </c>
      <c r="S65" s="83">
        <v>9.8310915137679047E-2</v>
      </c>
      <c r="T65" s="83">
        <v>0.10335412265621585</v>
      </c>
      <c r="U65" s="91">
        <v>0.10189804603249546</v>
      </c>
    </row>
    <row r="66" spans="1:21" x14ac:dyDescent="0.2">
      <c r="A66" s="83" t="s">
        <v>62</v>
      </c>
      <c r="B66" s="83">
        <f>1.25*MAX(B42,0,'Correlation Matrix'!$B$44*SQRT('Covariance Matrix'!$B$53*O66))</f>
        <v>9.7003071988946681E-3</v>
      </c>
      <c r="C66" s="83">
        <f>1.25*MAX(C42,0,'Correlation Matrix'!$B$44*SQRT('Covariance Matrix'!$C$54*O66))</f>
        <v>1.0781451135012847E-2</v>
      </c>
      <c r="D66" s="83">
        <f>1.25*MAX(D42,0,'Correlation Matrix'!$B$44*SQRT('Covariance Matrix'!$D$55*O66))</f>
        <v>1.209578439042806E-2</v>
      </c>
      <c r="E66" s="83">
        <f>1.25*MAX(E42,0,'Correlation Matrix'!$B$44*SQRT('Covariance Matrix'!$E$56*O66))</f>
        <v>1.1582689529067214E-2</v>
      </c>
      <c r="F66" s="83">
        <f>1.25*MAX(F42,0,'Correlation Matrix'!$B$44*SQRT('Covariance Matrix'!$F$57*O66))</f>
        <v>1.1470712521980737E-2</v>
      </c>
      <c r="G66" s="83">
        <f>1.25*MAX(G42,0,'Correlation Matrix'!$B$44*SQRT('Covariance Matrix'!$G$58*O66))</f>
        <v>9.124965904786949E-3</v>
      </c>
      <c r="H66" s="83">
        <f>1.25*MAX(H42,0,'Correlation Matrix'!$B$44*SQRT('Covariance Matrix'!$H$59*O66))</f>
        <v>1.2536637741151584E-2</v>
      </c>
      <c r="I66" s="83">
        <f>1.25*MAX(I42,0,'Correlation Matrix'!$B$44*SQRT('Covariance Matrix'!$I$60*O66))</f>
        <v>8.1746067668213764E-3</v>
      </c>
      <c r="J66" s="83">
        <f>1.25*MAX(J42,0,'Correlation Matrix'!$B$44*SQRT('Covariance Matrix'!$J$61*O66))</f>
        <v>9.5755730539906249E-3</v>
      </c>
      <c r="K66" s="83">
        <f>1.25*MAX(K42,0,'Correlation Matrix'!$B$44*SQRT('Covariance Matrix'!$K$62*O66))</f>
        <v>9.2055098446882019E-3</v>
      </c>
      <c r="L66" s="83">
        <f>1.25*MAX(L42,0,'Correlation Matrix'!$B$44*SQRT('Covariance Matrix'!$L$63*O66))</f>
        <v>7.5904707355373578E-3</v>
      </c>
      <c r="M66" s="83">
        <f>1.25*MAX(M42,0,'Correlation Matrix'!$B$44*SQRT('Covariance Matrix'!$M$64*O66))</f>
        <v>1.0104987285395103E-2</v>
      </c>
      <c r="N66" s="83">
        <f>1.25*MAX(N42,0,'Correlation Matrix'!$B$44*SQRT('Covariance Matrix'!$N$65*O66))</f>
        <v>9.6257424666650829E-3</v>
      </c>
      <c r="O66" s="84">
        <f>O42*1.25</f>
        <v>1.7665423209017148E-3</v>
      </c>
      <c r="P66" s="83">
        <v>4.2127804765156804E-3</v>
      </c>
      <c r="Q66" s="83">
        <v>4.7654395695891612E-3</v>
      </c>
      <c r="R66" s="83">
        <v>6.2368761798102506E-3</v>
      </c>
      <c r="S66" s="83">
        <v>1.9828893817885232E-2</v>
      </c>
      <c r="T66" s="83">
        <v>2.0846087343615111E-2</v>
      </c>
      <c r="U66" s="91">
        <v>2.0552402876106879E-2</v>
      </c>
    </row>
    <row r="67" spans="1:21" x14ac:dyDescent="0.2">
      <c r="A67" s="83" t="s">
        <v>61</v>
      </c>
      <c r="B67" s="83">
        <f>1.25*MAX(B43,0,'Correlation Matrix'!$B$44*SQRT('Covariance Matrix'!$B$53*P67))</f>
        <v>2.1048605610347305E-2</v>
      </c>
      <c r="C67" s="83">
        <f>1.25*MAX(C43,0,'Correlation Matrix'!$B$44*SQRT('Covariance Matrix'!$C$54*P67))</f>
        <v>2.3394569697130364E-2</v>
      </c>
      <c r="D67" s="83">
        <f>1.25*MAX(D43,0,'Correlation Matrix'!$B$44*SQRT('Covariance Matrix'!$D$55*P67))</f>
        <v>2.624652910074091E-2</v>
      </c>
      <c r="E67" s="83">
        <f>1.25*MAX(E43,0,'Correlation Matrix'!$B$44*SQRT('Covariance Matrix'!$E$56*P67))</f>
        <v>2.5133169373462282E-2</v>
      </c>
      <c r="F67" s="83">
        <f>1.25*MAX(F43,0,'Correlation Matrix'!$B$44*SQRT('Covariance Matrix'!$F$57*P67))</f>
        <v>2.4890191516033298E-2</v>
      </c>
      <c r="G67" s="83">
        <f>1.25*MAX(G43,0,'Correlation Matrix'!$B$44*SQRT('Covariance Matrix'!$G$58*P67))</f>
        <v>1.9800177932469208E-2</v>
      </c>
      <c r="H67" s="83">
        <f>1.25*MAX(H43,0,'Correlation Matrix'!$B$44*SQRT('Covariance Matrix'!$H$59*P67))</f>
        <v>2.7203132651650811E-2</v>
      </c>
      <c r="I67" s="83">
        <f>1.25*MAX(I43,0,'Correlation Matrix'!$B$44*SQRT('Covariance Matrix'!$I$60*P67))</f>
        <v>1.7738002552548624E-2</v>
      </c>
      <c r="J67" s="83">
        <f>1.25*MAX(J43,0,'Correlation Matrix'!$B$44*SQRT('Covariance Matrix'!$J$61*P67))</f>
        <v>2.077794615921897E-2</v>
      </c>
      <c r="K67" s="83">
        <f>1.25*MAX(K43,0,'Correlation Matrix'!$B$44*SQRT('Covariance Matrix'!$K$62*P67))</f>
        <v>1.9974949472228092E-2</v>
      </c>
      <c r="L67" s="83">
        <f>1.25*MAX(L43,0,'Correlation Matrix'!$B$44*SQRT('Covariance Matrix'!$L$63*P67))</f>
        <v>1.6470491256958753E-2</v>
      </c>
      <c r="M67" s="83">
        <f>1.25*MAX(M43,0,'Correlation Matrix'!$B$44*SQRT('Covariance Matrix'!$M$64*P67))</f>
        <v>2.1926717134493623E-2</v>
      </c>
      <c r="N67" s="83">
        <f>1.25*MAX(N43,0,'Correlation Matrix'!$B$44*SQRT('Covariance Matrix'!$N$65*P67))</f>
        <v>2.0886808297235354E-2</v>
      </c>
      <c r="O67" s="83">
        <f>1.25*MAX(O43,0,'Correlation Matrix'!$B$44*SQRT('Covariance Matrix'!$O$66*P67))</f>
        <v>4.2127804765156804E-3</v>
      </c>
      <c r="P67" s="84">
        <f>P43*1.25</f>
        <v>8.3176325687341311E-3</v>
      </c>
      <c r="Q67" s="83">
        <v>1.0340482626329105E-2</v>
      </c>
      <c r="R67" s="83">
        <v>1.353333912603864E-2</v>
      </c>
      <c r="S67" s="83">
        <v>4.302653071746828E-2</v>
      </c>
      <c r="T67" s="83">
        <v>4.5233729408549583E-2</v>
      </c>
      <c r="U67" s="91">
        <v>4.4596466237011051E-2</v>
      </c>
    </row>
    <row r="68" spans="1:21" x14ac:dyDescent="0.2">
      <c r="A68" s="83" t="s">
        <v>60</v>
      </c>
      <c r="B68" s="83">
        <f>1.25*MAX(B44,0,'Correlation Matrix'!$B$44*SQRT('Covariance Matrix'!$B$53*Q68))</f>
        <v>2.3809894348728742E-2</v>
      </c>
      <c r="C68" s="83">
        <f>1.25*MAX(C44,0,'Correlation Matrix'!$B$44*SQRT('Covariance Matrix'!$C$54*Q68))</f>
        <v>2.6463616789361946E-2</v>
      </c>
      <c r="D68" s="83">
        <f>1.25*MAX(D44,0,'Correlation Matrix'!$B$44*SQRT('Covariance Matrix'!$D$55*Q68))</f>
        <v>2.9689714201413274E-2</v>
      </c>
      <c r="E68" s="83">
        <f>1.25*MAX(E44,0,'Correlation Matrix'!$B$44*SQRT('Covariance Matrix'!$E$56*Q68))</f>
        <v>2.843029692839439E-2</v>
      </c>
      <c r="F68" s="83">
        <f>1.25*MAX(F44,0,'Correlation Matrix'!$B$44*SQRT('Covariance Matrix'!$F$57*Q68))</f>
        <v>2.8155443704310959E-2</v>
      </c>
      <c r="G68" s="83">
        <f>1.25*MAX(G44,0,'Correlation Matrix'!$B$44*SQRT('Covariance Matrix'!$G$58*Q68))</f>
        <v>2.2397690060113367E-2</v>
      </c>
      <c r="H68" s="83">
        <f>1.25*MAX(H44,0,'Correlation Matrix'!$B$44*SQRT('Covariance Matrix'!$H$59*Q68))</f>
        <v>3.0771811034924504E-2</v>
      </c>
      <c r="I68" s="83">
        <f>1.25*MAX(I44,0,'Correlation Matrix'!$B$44*SQRT('Covariance Matrix'!$I$60*Q68))</f>
        <v>2.006498551742758E-2</v>
      </c>
      <c r="J68" s="83">
        <f>1.25*MAX(J44,0,'Correlation Matrix'!$B$44*SQRT('Covariance Matrix'!$J$61*Q68))</f>
        <v>2.3503728085027042E-2</v>
      </c>
      <c r="K68" s="83">
        <f>1.25*MAX(K44,0,'Correlation Matrix'!$B$44*SQRT('Covariance Matrix'!$K$62*Q68))</f>
        <v>2.2595389231918742E-2</v>
      </c>
      <c r="L68" s="83">
        <f>1.25*MAX(L44,0,'Correlation Matrix'!$B$44*SQRT('Covariance Matrix'!$L$63*Q68))</f>
        <v>1.8631194101858498E-2</v>
      </c>
      <c r="M68" s="83">
        <f>1.25*MAX(M44,0,'Correlation Matrix'!$B$44*SQRT('Covariance Matrix'!$M$64*Q68))</f>
        <v>2.4803202076726028E-2</v>
      </c>
      <c r="N68" s="83">
        <f>1.25*MAX(N44,0,'Correlation Matrix'!$B$44*SQRT('Covariance Matrix'!$N$65*Q68))</f>
        <v>2.3626871444389182E-2</v>
      </c>
      <c r="O68" s="83">
        <f>1.25*MAX(O44,0,'Correlation Matrix'!$B$44*SQRT('Covariance Matrix'!$O$66*Q68))</f>
        <v>4.7654395695891612E-3</v>
      </c>
      <c r="P68" s="83">
        <f>1.25*MAX(P44,0,'Correlation Matrix'!$B$44*SQRT('Covariance Matrix'!$P$67*Q68))</f>
        <v>1.0340482626329105E-2</v>
      </c>
      <c r="Q68" s="84">
        <f>Q44*1.25</f>
        <v>1.0643096664563458E-2</v>
      </c>
      <c r="R68" s="83">
        <v>1.5308727843619859E-2</v>
      </c>
      <c r="S68" s="83">
        <v>4.8671022182658882E-2</v>
      </c>
      <c r="T68" s="83">
        <v>5.1167775108442407E-2</v>
      </c>
      <c r="U68" s="91">
        <v>5.0446911737844151E-2</v>
      </c>
    </row>
    <row r="69" spans="1:21" x14ac:dyDescent="0.2">
      <c r="A69" s="83" t="s">
        <v>59</v>
      </c>
      <c r="B69" s="83">
        <f>1.25*MAX(B45,0,'Correlation Matrix'!$B$44*SQRT('Covariance Matrix'!$B$53*R69))</f>
        <v>3.1161734555410055E-2</v>
      </c>
      <c r="C69" s="83">
        <f>1.25*MAX(C45,0,'Correlation Matrix'!$B$44*SQRT('Covariance Matrix'!$C$54*R69))</f>
        <v>3.4634853464195217E-2</v>
      </c>
      <c r="D69" s="83">
        <f>1.25*MAX(D45,0,'Correlation Matrix'!$B$44*SQRT('Covariance Matrix'!$D$55*R69))</f>
        <v>3.8857080985738437E-2</v>
      </c>
      <c r="E69" s="83">
        <f>1.25*MAX(E45,0,'Correlation Matrix'!$B$44*SQRT('Covariance Matrix'!$E$56*R69))</f>
        <v>3.720879031373852E-2</v>
      </c>
      <c r="F69" s="83">
        <f>1.25*MAX(F45,0,'Correlation Matrix'!$B$44*SQRT('Covariance Matrix'!$F$57*R69))</f>
        <v>3.6849069977094376E-2</v>
      </c>
      <c r="G69" s="83">
        <f>1.25*MAX(G45,0,'Correlation Matrix'!$B$44*SQRT('Covariance Matrix'!$G$58*R69))</f>
        <v>2.9313480441582218E-2</v>
      </c>
      <c r="H69" s="83">
        <f>1.25*MAX(H45,0,'Correlation Matrix'!$B$44*SQRT('Covariance Matrix'!$H$59*R69))</f>
        <v>4.0273299545772787E-2</v>
      </c>
      <c r="I69" s="83">
        <f>1.25*MAX(I45,0,'Correlation Matrix'!$B$44*SQRT('Covariance Matrix'!$I$60*R69))</f>
        <v>2.6260500924297846E-2</v>
      </c>
      <c r="J69" s="83">
        <f>1.25*MAX(J45,0,'Correlation Matrix'!$B$44*SQRT('Covariance Matrix'!$J$61*R69))</f>
        <v>3.0761032574143036E-2</v>
      </c>
      <c r="K69" s="83">
        <f>1.25*MAX(K45,0,'Correlation Matrix'!$B$44*SQRT('Covariance Matrix'!$K$62*R69))</f>
        <v>2.9572223677624857E-2</v>
      </c>
      <c r="L69" s="83">
        <f>1.25*MAX(L45,0,'Correlation Matrix'!$B$44*SQRT('Covariance Matrix'!$L$63*R69))</f>
        <v>2.4383994172718124E-2</v>
      </c>
      <c r="M69" s="83">
        <f>1.25*MAX(M45,0,'Correlation Matrix'!$B$44*SQRT('Covariance Matrix'!$M$64*R69))</f>
        <v>3.2461748377325288E-2</v>
      </c>
      <c r="N69" s="83">
        <f>1.25*MAX(N45,0,'Correlation Matrix'!$B$44*SQRT('Covariance Matrix'!$N$65*R69))</f>
        <v>3.0922199214385153E-2</v>
      </c>
      <c r="O69" s="83">
        <f>1.25*MAX(O45,0,'Correlation Matrix'!$B$44*SQRT('Covariance Matrix'!$O$66*R69))</f>
        <v>6.2368761798102506E-3</v>
      </c>
      <c r="P69" s="83">
        <f>1.25*MAX(P45,0,'Correlation Matrix'!$B$44*SQRT('Covariance Matrix'!$P$67*R69))</f>
        <v>1.353333912603864E-2</v>
      </c>
      <c r="Q69" s="83">
        <f>1.25*MAX(Q45,0,'Correlation Matrix'!$B$44*SQRT('Covariance Matrix'!$Q$68*R69))</f>
        <v>1.5308727843619859E-2</v>
      </c>
      <c r="R69" s="84">
        <f>R45*1.25</f>
        <v>1.8230405028111105E-2</v>
      </c>
      <c r="S69" s="83">
        <v>6.369929456984208E-2</v>
      </c>
      <c r="T69" s="83">
        <v>6.6966976096865055E-2</v>
      </c>
      <c r="U69" s="91">
        <v>6.6023529953161339E-2</v>
      </c>
    </row>
    <row r="70" spans="1:21" x14ac:dyDescent="0.2">
      <c r="A70" s="83" t="s">
        <v>80</v>
      </c>
      <c r="B70" s="83">
        <f>1.25*MAX(B46,0,'Correlation Matrix'!$B$44*SQRT('Covariance Matrix'!$B$53*S70))</f>
        <v>9.9072469593127335E-2</v>
      </c>
      <c r="C70" s="83">
        <f>1.25*MAX(C46,0,'Correlation Matrix'!$B$44*SQRT('Covariance Matrix'!$C$54*S70))</f>
        <v>0.11011455285303352</v>
      </c>
      <c r="D70" s="83">
        <f>1.25*MAX(D46,0,'Correlation Matrix'!$B$44*SQRT('Covariance Matrix'!$D$55*S70))</f>
        <v>0.12353827633028559</v>
      </c>
      <c r="E70" s="83">
        <f>1.25*MAX(E46,0,'Correlation Matrix'!$B$44*SQRT('Covariance Matrix'!$E$56*S70))</f>
        <v>0.11829786754649423</v>
      </c>
      <c r="F70" s="83">
        <f>1.25*MAX(F46,0,'Correlation Matrix'!$B$44*SQRT('Covariance Matrix'!$F$57*S70))</f>
        <v>0.11715420906205276</v>
      </c>
      <c r="G70" s="83">
        <f>1.25*MAX(G46,0,'Correlation Matrix'!$B$44*SQRT('Covariance Matrix'!$G$58*S70))</f>
        <v>9.319631725099814E-2</v>
      </c>
      <c r="H70" s="83">
        <f>1.25*MAX(H46,0,'Correlation Matrix'!$B$44*SQRT('Covariance Matrix'!$H$59*S70))</f>
        <v>0.12804085849485472</v>
      </c>
      <c r="I70" s="83">
        <f>1.25*MAX(I46,0,'Correlation Matrix'!$B$44*SQRT('Covariance Matrix'!$I$60*S70))</f>
        <v>8.3489982712502936E-2</v>
      </c>
      <c r="J70" s="83">
        <f>1.25*MAX(J46,0,'Correlation Matrix'!$B$44*SQRT('Covariance Matrix'!$J$61*S70))</f>
        <v>9.7798518209439328E-2</v>
      </c>
      <c r="K70" s="83">
        <f>1.25*MAX(K46,0,'Correlation Matrix'!$B$44*SQRT('Covariance Matrix'!$K$62*S70))</f>
        <v>9.4018939346686689E-2</v>
      </c>
      <c r="L70" s="83">
        <f>1.25*MAX(L46,0,'Correlation Matrix'!$B$44*SQRT('Covariance Matrix'!$L$63*S70))</f>
        <v>7.7524006789159994E-2</v>
      </c>
      <c r="M70" s="83">
        <f>1.25*MAX(M46,0,'Correlation Matrix'!$B$44*SQRT('Covariance Matrix'!$M$64*S70))</f>
        <v>0.10320560215714829</v>
      </c>
      <c r="N70" s="83">
        <f>1.25*MAX(N46,0,'Correlation Matrix'!$B$44*SQRT('Covariance Matrix'!$N$65*S70))</f>
        <v>9.8310915137679047E-2</v>
      </c>
      <c r="O70" s="83">
        <f>1.25*MAX(O46,0,'Correlation Matrix'!$B$44*SQRT('Covariance Matrix'!$O$66*S70))</f>
        <v>1.9828893817885232E-2</v>
      </c>
      <c r="P70" s="83">
        <f>1.25*MAX(P46,0,'Correlation Matrix'!$B$44*SQRT('Covariance Matrix'!$P$67*S70))</f>
        <v>4.302653071746828E-2</v>
      </c>
      <c r="Q70" s="83">
        <f>1.25*MAX(Q46,0,'Correlation Matrix'!$B$44*SQRT('Covariance Matrix'!$Q$68*S70))</f>
        <v>4.8671022182658882E-2</v>
      </c>
      <c r="R70" s="83">
        <f>1.25*MAX(R46,0,'Correlation Matrix'!$B$44*SQRT('Covariance Matrix'!$R$69*S70))</f>
        <v>6.369929456984208E-2</v>
      </c>
      <c r="S70" s="84">
        <f>S46*1.25</f>
        <v>0.1842718719244516</v>
      </c>
      <c r="T70" s="83">
        <v>0.21290803601779934</v>
      </c>
      <c r="U70" s="91">
        <v>0.20990853869461168</v>
      </c>
    </row>
    <row r="71" spans="1:21" x14ac:dyDescent="0.2">
      <c r="A71" s="83" t="s">
        <v>79</v>
      </c>
      <c r="B71" s="83">
        <f>1.25*MAX(B47,0,'Correlation Matrix'!$B$44*SQRT('Covariance Matrix'!$B$53*T71))</f>
        <v>0.10415474375192592</v>
      </c>
      <c r="C71" s="83">
        <f>1.25*MAX(C47,0,'Correlation Matrix'!$B$44*SQRT('Covariance Matrix'!$C$54*T71))</f>
        <v>0.11576326988583729</v>
      </c>
      <c r="D71" s="83">
        <f>1.25*MAX(D47,0,'Correlation Matrix'!$B$44*SQRT('Covariance Matrix'!$D$55*T71))</f>
        <v>0.12987561092984104</v>
      </c>
      <c r="E71" s="83">
        <f>1.25*MAX(E47,0,'Correlation Matrix'!$B$44*SQRT('Covariance Matrix'!$E$56*T71))</f>
        <v>0.12436637676748809</v>
      </c>
      <c r="F71" s="83">
        <f>1.25*MAX(F47,0,'Correlation Matrix'!$B$44*SQRT('Covariance Matrix'!$F$57*T71))</f>
        <v>0.12316405025967105</v>
      </c>
      <c r="G71" s="83">
        <f>1.25*MAX(G47,0,'Correlation Matrix'!$B$44*SQRT('Covariance Matrix'!$G$58*T71))</f>
        <v>9.7977153307726467E-2</v>
      </c>
      <c r="H71" s="83">
        <f>1.25*MAX(H47,0,'Correlation Matrix'!$B$44*SQRT('Covariance Matrix'!$H$59*T71))</f>
        <v>0.13460916903633263</v>
      </c>
      <c r="I71" s="83">
        <f>1.25*MAX(I47,0,'Correlation Matrix'!$B$44*SQRT('Covariance Matrix'!$I$60*T71))</f>
        <v>8.7772897869467292E-2</v>
      </c>
      <c r="J71" s="83">
        <f>1.25*MAX(J47,0,'Correlation Matrix'!$B$44*SQRT('Covariance Matrix'!$J$61*T71))</f>
        <v>0.10281544050789293</v>
      </c>
      <c r="K71" s="83">
        <f>1.25*MAX(K47,0,'Correlation Matrix'!$B$44*SQRT('Covariance Matrix'!$K$62*T71))</f>
        <v>9.8841974725149342E-2</v>
      </c>
      <c r="L71" s="83">
        <f>1.25*MAX(L47,0,'Correlation Matrix'!$B$44*SQRT('Covariance Matrix'!$L$63*T71))</f>
        <v>8.1500876024469801E-2</v>
      </c>
      <c r="M71" s="83">
        <f>1.25*MAX(M47,0,'Correlation Matrix'!$B$44*SQRT('Covariance Matrix'!$M$64*T71))</f>
        <v>0.10849990002860166</v>
      </c>
      <c r="N71" s="83">
        <f>1.25*MAX(N47,0,'Correlation Matrix'!$B$44*SQRT('Covariance Matrix'!$N$65*T71))</f>
        <v>0.10335412265621585</v>
      </c>
      <c r="O71" s="83">
        <f>1.25*MAX(O47,0,'Correlation Matrix'!$B$44*SQRT('Covariance Matrix'!$O$66*T71))</f>
        <v>2.0846087343615111E-2</v>
      </c>
      <c r="P71" s="83">
        <f>1.25*MAX(P47,0,'Correlation Matrix'!$B$44*SQRT('Covariance Matrix'!$P$67*T71))</f>
        <v>4.5233729408549583E-2</v>
      </c>
      <c r="Q71" s="83">
        <f>1.25*MAX(Q47,0,'Correlation Matrix'!$B$44*SQRT('Covariance Matrix'!$Q$68*T71))</f>
        <v>5.1167775108442407E-2</v>
      </c>
      <c r="R71" s="83">
        <f>1.25*MAX(R47,0,'Correlation Matrix'!$B$44*SQRT('Covariance Matrix'!$R$69*T71))</f>
        <v>6.6966976096865055E-2</v>
      </c>
      <c r="S71" s="83">
        <f>1.25*MAX(S47,0,'Correlation Matrix'!$B$44*SQRT('Covariance Matrix'!$S$70*T71))</f>
        <v>0.21290803601779934</v>
      </c>
      <c r="T71" s="84">
        <f>T47*1.25</f>
        <v>0.20366255110832338</v>
      </c>
      <c r="U71" s="91">
        <v>0.22067654262446226</v>
      </c>
    </row>
    <row r="72" spans="1:21" ht="17" thickBot="1" x14ac:dyDescent="0.25">
      <c r="A72" s="85" t="s">
        <v>47</v>
      </c>
      <c r="B72" s="85">
        <f>1.25*MAX(B48,0,'Correlation Matrix'!$B$44*SQRT('Covariance Matrix'!$B$53*U72))</f>
        <v>0.10268738779428094</v>
      </c>
      <c r="C72" s="85">
        <f>1.25*MAX(C48,0,'Correlation Matrix'!$B$44*SQRT('Covariance Matrix'!$C$54*U72))</f>
        <v>0.11413237034516896</v>
      </c>
      <c r="D72" s="85">
        <f>1.25*MAX(D48,0,'Correlation Matrix'!$B$44*SQRT('Covariance Matrix'!$D$55*U72))</f>
        <v>0.12804589348648976</v>
      </c>
      <c r="E72" s="85">
        <f>1.25*MAX(E48,0,'Correlation Matrix'!$B$44*SQRT('Covariance Matrix'!$E$56*U72))</f>
        <v>0.12261427468066291</v>
      </c>
      <c r="F72" s="85">
        <f>1.25*MAX(F48,0,'Correlation Matrix'!$B$44*SQRT('Covariance Matrix'!$F$57*U72))</f>
        <v>0.12142888682490074</v>
      </c>
      <c r="G72" s="85">
        <f>1.25*MAX(G48,0,'Correlation Matrix'!$B$44*SQRT('Covariance Matrix'!$G$58*U72))</f>
        <v>9.6596828663449014E-2</v>
      </c>
      <c r="H72" s="85">
        <f>1.25*MAX(H48,0,'Correlation Matrix'!$B$44*SQRT('Covariance Matrix'!$H$59*U72))</f>
        <v>0.13271276413892777</v>
      </c>
      <c r="I72" s="85">
        <f>1.25*MAX(I48,0,'Correlation Matrix'!$B$44*SQRT('Covariance Matrix'!$I$60*U72))</f>
        <v>8.6536333120047076E-2</v>
      </c>
      <c r="J72" s="85">
        <f>1.25*MAX(J48,0,'Correlation Matrix'!$B$44*SQRT('Covariance Matrix'!$J$61*U72))</f>
        <v>0.1013669529620306</v>
      </c>
      <c r="K72" s="85">
        <f>1.25*MAX(K48,0,'Correlation Matrix'!$B$44*SQRT('Covariance Matrix'!$K$62*U72))</f>
        <v>9.7449466278066166E-2</v>
      </c>
      <c r="L72" s="85">
        <f>1.25*MAX(L48,0,'Correlation Matrix'!$B$44*SQRT('Covariance Matrix'!$L$63*U72))</f>
        <v>8.0352672959685456E-2</v>
      </c>
      <c r="M72" s="85">
        <f>1.25*MAX(M48,0,'Correlation Matrix'!$B$44*SQRT('Covariance Matrix'!$M$64*U72))</f>
        <v>0.10697132851110985</v>
      </c>
      <c r="N72" s="85">
        <f>1.25*MAX(N48,0,'Correlation Matrix'!$B$44*SQRT('Covariance Matrix'!$N$65*U72))</f>
        <v>0.10189804603249546</v>
      </c>
      <c r="O72" s="85">
        <f>1.25*MAX(O48,0,'Correlation Matrix'!$B$44*SQRT('Covariance Matrix'!$O$66*U72))</f>
        <v>2.0552402876106879E-2</v>
      </c>
      <c r="P72" s="85">
        <f>1.25*MAX(P48,0,'Correlation Matrix'!$B$44*SQRT('Covariance Matrix'!$P$67*U72))</f>
        <v>4.4596466237011051E-2</v>
      </c>
      <c r="Q72" s="85">
        <f>1.25*MAX(Q48,0,'Correlation Matrix'!$B$44*SQRT('Covariance Matrix'!$Q$68*U72))</f>
        <v>5.0446911737844151E-2</v>
      </c>
      <c r="R72" s="85">
        <f>1.25*MAX(R48,0,'Correlation Matrix'!$B$44*SQRT('Covariance Matrix'!$R$69*U72))</f>
        <v>6.6023529953161339E-2</v>
      </c>
      <c r="S72" s="85">
        <f>1.25*MAX(S48,0,'Correlation Matrix'!$B$44*SQRT('Covariance Matrix'!$S$70*U72))</f>
        <v>0.20990853869461168</v>
      </c>
      <c r="T72" s="85">
        <f>1.25*MAX(T48,0,'Correlation Matrix'!$B$44*SQRT('Covariance Matrix'!$T$71*U72))</f>
        <v>0.22067654262446226</v>
      </c>
      <c r="U72" s="92">
        <f>U48*1.25</f>
        <v>0.19796448407273243</v>
      </c>
    </row>
    <row r="74" spans="1:21" x14ac:dyDescent="0.2">
      <c r="C74" s="81" t="s">
        <v>110</v>
      </c>
      <c r="D74" s="81"/>
      <c r="E74" s="81"/>
      <c r="F74" s="81"/>
    </row>
    <row r="75" spans="1:21" ht="17" thickBot="1" x14ac:dyDescent="0.25"/>
    <row r="76" spans="1:21" ht="17" thickBot="1" x14ac:dyDescent="0.25">
      <c r="A76" s="82"/>
      <c r="B76" s="93" t="s">
        <v>77</v>
      </c>
      <c r="C76" s="93" t="s">
        <v>76</v>
      </c>
      <c r="D76" s="93" t="s">
        <v>75</v>
      </c>
      <c r="E76" s="93" t="s">
        <v>74</v>
      </c>
      <c r="F76" s="93" t="s">
        <v>73</v>
      </c>
      <c r="G76" s="93" t="s">
        <v>72</v>
      </c>
      <c r="H76" s="93" t="s">
        <v>71</v>
      </c>
      <c r="I76" s="93" t="s">
        <v>70</v>
      </c>
      <c r="J76" s="93" t="s">
        <v>68</v>
      </c>
      <c r="K76" s="93" t="s">
        <v>67</v>
      </c>
      <c r="L76" s="93" t="s">
        <v>66</v>
      </c>
      <c r="M76" s="93" t="s">
        <v>65</v>
      </c>
      <c r="N76" s="93" t="s">
        <v>64</v>
      </c>
      <c r="O76" s="93" t="s">
        <v>62</v>
      </c>
      <c r="P76" s="93" t="s">
        <v>61</v>
      </c>
      <c r="Q76" s="93" t="s">
        <v>60</v>
      </c>
      <c r="R76" s="93" t="s">
        <v>59</v>
      </c>
      <c r="S76" s="93" t="s">
        <v>80</v>
      </c>
      <c r="T76" s="93" t="s">
        <v>79</v>
      </c>
      <c r="U76" s="94" t="s">
        <v>47</v>
      </c>
    </row>
    <row r="77" spans="1:21" x14ac:dyDescent="0.2">
      <c r="A77" s="83" t="s">
        <v>77</v>
      </c>
      <c r="B77" s="95">
        <f t="shared" ref="B77:B96" si="20">(0.15*B29)+(0.85*B53)</f>
        <v>4.2776454340393927E-2</v>
      </c>
      <c r="C77" s="96">
        <f t="shared" ref="C77:U91" si="21">(0.15*C29)+(0.85*C53)</f>
        <v>5.1537641446807621E-2</v>
      </c>
      <c r="D77" s="96">
        <f t="shared" si="21"/>
        <v>5.7653795886489674E-2</v>
      </c>
      <c r="E77" s="96">
        <f t="shared" si="21"/>
        <v>5.487066331931658E-2</v>
      </c>
      <c r="F77" s="96">
        <f t="shared" si="21"/>
        <v>5.4452778180527066E-2</v>
      </c>
      <c r="G77" s="96">
        <f t="shared" si="21"/>
        <v>4.3470561730116118E-2</v>
      </c>
      <c r="H77" s="96">
        <f t="shared" si="21"/>
        <v>5.9783578868813719E-2</v>
      </c>
      <c r="I77" s="96">
        <f t="shared" si="21"/>
        <v>3.8485919560176954E-2</v>
      </c>
      <c r="J77" s="96">
        <f t="shared" si="21"/>
        <v>4.5036927686877365E-2</v>
      </c>
      <c r="K77" s="96">
        <f t="shared" si="21"/>
        <v>4.3129701748784645E-2</v>
      </c>
      <c r="L77" s="96">
        <f t="shared" si="21"/>
        <v>3.6098101233167861E-2</v>
      </c>
      <c r="M77" s="96">
        <f t="shared" si="21"/>
        <v>4.7608832095296108E-2</v>
      </c>
      <c r="N77" s="96">
        <f t="shared" si="21"/>
        <v>4.5515079641609349E-2</v>
      </c>
      <c r="O77" s="96">
        <f t="shared" si="21"/>
        <v>8.4941233912779711E-3</v>
      </c>
      <c r="P77" s="96">
        <f t="shared" si="21"/>
        <v>1.9713324951232503E-2</v>
      </c>
      <c r="Q77" s="96">
        <f t="shared" si="21"/>
        <v>2.2075571668793686E-2</v>
      </c>
      <c r="R77" s="96">
        <f t="shared" si="21"/>
        <v>2.9155756736689378E-2</v>
      </c>
      <c r="S77" s="96">
        <f t="shared" si="21"/>
        <v>9.2188988364018787E-2</v>
      </c>
      <c r="T77" s="96">
        <f t="shared" si="21"/>
        <v>9.7744581455125115E-2</v>
      </c>
      <c r="U77" s="97">
        <f t="shared" si="21"/>
        <v>9.5011434085174373E-2</v>
      </c>
    </row>
    <row r="78" spans="1:21" x14ac:dyDescent="0.2">
      <c r="A78" s="83" t="s">
        <v>76</v>
      </c>
      <c r="B78" s="98">
        <f t="shared" si="20"/>
        <v>5.1537641446807621E-2</v>
      </c>
      <c r="C78" s="84">
        <f t="shared" ref="C78:Q78" si="22">(0.15*C30)+(0.85*C54)</f>
        <v>5.2843094900116759E-2</v>
      </c>
      <c r="D78" s="83">
        <f t="shared" si="22"/>
        <v>6.4283608138373916E-2</v>
      </c>
      <c r="E78" s="83">
        <f t="shared" si="22"/>
        <v>6.067780061219312E-2</v>
      </c>
      <c r="F78" s="83">
        <f t="shared" si="22"/>
        <v>6.0590876830425633E-2</v>
      </c>
      <c r="G78" s="83">
        <f t="shared" si="22"/>
        <v>4.8311572842828873E-2</v>
      </c>
      <c r="H78" s="83">
        <f t="shared" si="22"/>
        <v>6.6204103359123759E-2</v>
      </c>
      <c r="I78" s="83">
        <f t="shared" si="22"/>
        <v>4.2594821740222305E-2</v>
      </c>
      <c r="J78" s="83">
        <f t="shared" si="22"/>
        <v>5.0050621135768601E-2</v>
      </c>
      <c r="K78" s="83">
        <f t="shared" si="22"/>
        <v>4.8081381516489913E-2</v>
      </c>
      <c r="L78" s="83">
        <f t="shared" si="22"/>
        <v>4.005237285839694E-2</v>
      </c>
      <c r="M78" s="83">
        <f t="shared" si="22"/>
        <v>5.29338811510804E-2</v>
      </c>
      <c r="N78" s="83">
        <f t="shared" si="22"/>
        <v>5.0681233983137279E-2</v>
      </c>
      <c r="O78" s="83">
        <f t="shared" si="22"/>
        <v>9.4874891376863068E-3</v>
      </c>
      <c r="P78" s="83">
        <f t="shared" si="22"/>
        <v>2.2052560227146203E-2</v>
      </c>
      <c r="Q78" s="83">
        <f t="shared" si="22"/>
        <v>2.4572119932935062E-2</v>
      </c>
      <c r="R78" s="83">
        <f t="shared" si="21"/>
        <v>3.2476731227884692E-2</v>
      </c>
      <c r="S78" s="83">
        <f t="shared" si="21"/>
        <v>0.10284569007926946</v>
      </c>
      <c r="T78" s="83">
        <f t="shared" si="21"/>
        <v>0.10876317673354555</v>
      </c>
      <c r="U78" s="99">
        <f t="shared" si="21"/>
        <v>0.10580154500911355</v>
      </c>
    </row>
    <row r="79" spans="1:21" x14ac:dyDescent="0.2">
      <c r="A79" s="83" t="s">
        <v>75</v>
      </c>
      <c r="B79" s="98">
        <f t="shared" si="20"/>
        <v>5.7653795886489674E-2</v>
      </c>
      <c r="C79" s="83">
        <f t="shared" si="21"/>
        <v>6.4283608138373916E-2</v>
      </c>
      <c r="D79" s="84">
        <f t="shared" si="21"/>
        <v>6.6512287019669963E-2</v>
      </c>
      <c r="E79" s="83">
        <f t="shared" si="21"/>
        <v>6.7851021771870454E-2</v>
      </c>
      <c r="F79" s="83">
        <f t="shared" si="21"/>
        <v>6.8069742423410781E-2</v>
      </c>
      <c r="G79" s="83">
        <f t="shared" si="21"/>
        <v>5.4080903243333367E-2</v>
      </c>
      <c r="H79" s="83">
        <f t="shared" si="21"/>
        <v>7.4103484150462084E-2</v>
      </c>
      <c r="I79" s="83">
        <f t="shared" si="21"/>
        <v>4.7595102491046565E-2</v>
      </c>
      <c r="J79" s="83">
        <f t="shared" si="21"/>
        <v>5.6159172873191415E-2</v>
      </c>
      <c r="K79" s="83">
        <f t="shared" si="21"/>
        <v>5.4135809161713955E-2</v>
      </c>
      <c r="L79" s="83">
        <f t="shared" si="21"/>
        <v>4.4787244691485095E-2</v>
      </c>
      <c r="M79" s="83">
        <f t="shared" si="21"/>
        <v>5.9560799277714759E-2</v>
      </c>
      <c r="N79" s="83">
        <f t="shared" si="21"/>
        <v>5.6953243325560551E-2</v>
      </c>
      <c r="O79" s="83">
        <f t="shared" si="21"/>
        <v>1.0568133289132765E-2</v>
      </c>
      <c r="P79" s="83">
        <f t="shared" si="21"/>
        <v>2.4734791808586138E-2</v>
      </c>
      <c r="Q79" s="83">
        <f t="shared" si="21"/>
        <v>2.7500927135699037E-2</v>
      </c>
      <c r="R79" s="83">
        <f t="shared" si="21"/>
        <v>3.6455627382579577E-2</v>
      </c>
      <c r="S79" s="83">
        <f t="shared" si="21"/>
        <v>0.11569463451877991</v>
      </c>
      <c r="T79" s="83">
        <f t="shared" si="21"/>
        <v>0.12194815473661753</v>
      </c>
      <c r="U79" s="99">
        <f t="shared" si="21"/>
        <v>0.11860847056802326</v>
      </c>
    </row>
    <row r="80" spans="1:21" x14ac:dyDescent="0.2">
      <c r="A80" s="83" t="s">
        <v>74</v>
      </c>
      <c r="B80" s="98">
        <f t="shared" si="20"/>
        <v>5.487066331931658E-2</v>
      </c>
      <c r="C80" s="83">
        <f t="shared" si="21"/>
        <v>6.067780061219312E-2</v>
      </c>
      <c r="D80" s="83">
        <f t="shared" si="21"/>
        <v>6.7851021771870454E-2</v>
      </c>
      <c r="E80" s="84">
        <f t="shared" si="21"/>
        <v>6.0989158088911338E-2</v>
      </c>
      <c r="F80" s="83">
        <f t="shared" si="21"/>
        <v>6.3582979237881365E-2</v>
      </c>
      <c r="G80" s="83">
        <f t="shared" si="21"/>
        <v>5.0724984502869358E-2</v>
      </c>
      <c r="H80" s="83">
        <f t="shared" si="21"/>
        <v>7.0970082836952608E-2</v>
      </c>
      <c r="I80" s="83">
        <f t="shared" si="21"/>
        <v>4.5387241211712746E-2</v>
      </c>
      <c r="J80" s="83">
        <f t="shared" si="21"/>
        <v>5.2943160110819218E-2</v>
      </c>
      <c r="K80" s="83">
        <f t="shared" si="21"/>
        <v>5.0891511333121073E-2</v>
      </c>
      <c r="L80" s="83">
        <f t="shared" si="21"/>
        <v>4.2635199638763902E-2</v>
      </c>
      <c r="M80" s="83">
        <f t="shared" si="21"/>
        <v>5.5556734638575814E-2</v>
      </c>
      <c r="N80" s="83">
        <f t="shared" si="21"/>
        <v>5.3226963766230359E-2</v>
      </c>
      <c r="O80" s="83">
        <f t="shared" si="21"/>
        <v>1.0290839639571269E-2</v>
      </c>
      <c r="P80" s="83">
        <f t="shared" si="21"/>
        <v>2.3309624461202057E-2</v>
      </c>
      <c r="Q80" s="83">
        <f t="shared" si="21"/>
        <v>2.618669435507575E-2</v>
      </c>
      <c r="R80" s="83">
        <f t="shared" si="21"/>
        <v>3.4510320034443438E-2</v>
      </c>
      <c r="S80" s="83">
        <f t="shared" si="21"/>
        <v>0.10786903670155305</v>
      </c>
      <c r="T80" s="83">
        <f t="shared" si="21"/>
        <v>0.11528282877369454</v>
      </c>
      <c r="U80" s="99">
        <f t="shared" si="21"/>
        <v>0.11229038492557553</v>
      </c>
    </row>
    <row r="81" spans="1:21" x14ac:dyDescent="0.2">
      <c r="A81" s="83" t="s">
        <v>73</v>
      </c>
      <c r="B81" s="98">
        <f t="shared" si="20"/>
        <v>5.4452778180527066E-2</v>
      </c>
      <c r="C81" s="83">
        <f t="shared" si="21"/>
        <v>6.0590876830425633E-2</v>
      </c>
      <c r="D81" s="83">
        <f t="shared" si="21"/>
        <v>6.8069742423410781E-2</v>
      </c>
      <c r="E81" s="83">
        <f t="shared" si="21"/>
        <v>6.3582979237881365E-2</v>
      </c>
      <c r="F81" s="84">
        <f t="shared" si="21"/>
        <v>5.9815618655132345E-2</v>
      </c>
      <c r="G81" s="83">
        <f t="shared" si="21"/>
        <v>5.1481444272107123E-2</v>
      </c>
      <c r="H81" s="83">
        <f t="shared" si="21"/>
        <v>6.9761575273903267E-2</v>
      </c>
      <c r="I81" s="83">
        <f t="shared" si="21"/>
        <v>4.4955402142516337E-2</v>
      </c>
      <c r="J81" s="83">
        <f t="shared" si="21"/>
        <v>5.3301025597497359E-2</v>
      </c>
      <c r="K81" s="83">
        <f t="shared" si="21"/>
        <v>5.0946994622780295E-2</v>
      </c>
      <c r="L81" s="83">
        <f t="shared" si="21"/>
        <v>4.2364534987667443E-2</v>
      </c>
      <c r="M81" s="83">
        <f t="shared" si="21"/>
        <v>5.6881485152193857E-2</v>
      </c>
      <c r="N81" s="83">
        <f t="shared" si="21"/>
        <v>5.4113231287448597E-2</v>
      </c>
      <c r="O81" s="83">
        <f t="shared" si="21"/>
        <v>9.8256661610710023E-3</v>
      </c>
      <c r="P81" s="83">
        <f t="shared" si="21"/>
        <v>2.3187085930749349E-2</v>
      </c>
      <c r="Q81" s="83">
        <f t="shared" si="21"/>
        <v>2.5773801767611893E-2</v>
      </c>
      <c r="R81" s="83">
        <f t="shared" si="21"/>
        <v>3.4259179823062279E-2</v>
      </c>
      <c r="S81" s="83">
        <f t="shared" si="21"/>
        <v>0.10990246472720114</v>
      </c>
      <c r="T81" s="83">
        <f t="shared" si="21"/>
        <v>0.11488079836035518</v>
      </c>
      <c r="U81" s="99">
        <f t="shared" si="21"/>
        <v>0.11162173956208052</v>
      </c>
    </row>
    <row r="82" spans="1:21" x14ac:dyDescent="0.2">
      <c r="A82" s="83" t="s">
        <v>72</v>
      </c>
      <c r="B82" s="98">
        <f t="shared" si="20"/>
        <v>4.3470561730116118E-2</v>
      </c>
      <c r="C82" s="83">
        <f t="shared" si="21"/>
        <v>4.8311572842828873E-2</v>
      </c>
      <c r="D82" s="83">
        <f t="shared" si="21"/>
        <v>5.4080903243333367E-2</v>
      </c>
      <c r="E82" s="83">
        <f t="shared" si="21"/>
        <v>5.0724984502869358E-2</v>
      </c>
      <c r="F82" s="83">
        <f t="shared" si="21"/>
        <v>5.1481444272107123E-2</v>
      </c>
      <c r="G82" s="84">
        <f t="shared" si="21"/>
        <v>3.7852651678339996E-2</v>
      </c>
      <c r="H82" s="83">
        <f t="shared" si="21"/>
        <v>5.5642774697586404E-2</v>
      </c>
      <c r="I82" s="83">
        <f t="shared" si="21"/>
        <v>3.6011772103444091E-2</v>
      </c>
      <c r="J82" s="83">
        <f t="shared" si="21"/>
        <v>4.2395056192937541E-2</v>
      </c>
      <c r="K82" s="83">
        <f t="shared" si="21"/>
        <v>4.0414212049753845E-2</v>
      </c>
      <c r="L82" s="83">
        <f t="shared" si="21"/>
        <v>3.3820977799797293E-2</v>
      </c>
      <c r="M82" s="83">
        <f t="shared" si="21"/>
        <v>4.5064581410350683E-2</v>
      </c>
      <c r="N82" s="83">
        <f t="shared" si="21"/>
        <v>4.2990411067234072E-2</v>
      </c>
      <c r="O82" s="83">
        <f t="shared" si="21"/>
        <v>7.8458610011986236E-3</v>
      </c>
      <c r="P82" s="83">
        <f t="shared" si="21"/>
        <v>1.8403060856694096E-2</v>
      </c>
      <c r="Q82" s="83">
        <f t="shared" si="21"/>
        <v>2.0554715344417156E-2</v>
      </c>
      <c r="R82" s="83">
        <f t="shared" si="21"/>
        <v>2.7244681137629168E-2</v>
      </c>
      <c r="S82" s="83">
        <f t="shared" si="21"/>
        <v>8.734937062490658E-2</v>
      </c>
      <c r="T82" s="83">
        <f t="shared" si="21"/>
        <v>9.1350133061609745E-2</v>
      </c>
      <c r="U82" s="99">
        <f t="shared" si="21"/>
        <v>8.8849235454484185E-2</v>
      </c>
    </row>
    <row r="83" spans="1:21" x14ac:dyDescent="0.2">
      <c r="A83" s="83" t="s">
        <v>71</v>
      </c>
      <c r="B83" s="98">
        <f t="shared" si="20"/>
        <v>5.9783578868813719E-2</v>
      </c>
      <c r="C83" s="83">
        <f t="shared" si="21"/>
        <v>6.6204103359123759E-2</v>
      </c>
      <c r="D83" s="83">
        <f t="shared" si="21"/>
        <v>7.4103484150462084E-2</v>
      </c>
      <c r="E83" s="83">
        <f t="shared" si="21"/>
        <v>7.0970082836952608E-2</v>
      </c>
      <c r="F83" s="83">
        <f t="shared" si="21"/>
        <v>6.9761575273903267E-2</v>
      </c>
      <c r="G83" s="83">
        <f t="shared" si="21"/>
        <v>5.5642774697586404E-2</v>
      </c>
      <c r="H83" s="84">
        <f t="shared" si="21"/>
        <v>7.1448968103857327E-2</v>
      </c>
      <c r="I83" s="83">
        <f t="shared" si="21"/>
        <v>4.9466427241204751E-2</v>
      </c>
      <c r="J83" s="83">
        <f t="shared" si="21"/>
        <v>5.7793490468792737E-2</v>
      </c>
      <c r="K83" s="83">
        <f t="shared" si="21"/>
        <v>5.5712146007499637E-2</v>
      </c>
      <c r="L83" s="83">
        <f t="shared" si="21"/>
        <v>4.6314672616371906E-2</v>
      </c>
      <c r="M83" s="83">
        <f t="shared" si="21"/>
        <v>6.0953821728338603E-2</v>
      </c>
      <c r="N83" s="83">
        <f t="shared" si="21"/>
        <v>5.8389499709210951E-2</v>
      </c>
      <c r="O83" s="83">
        <f t="shared" si="21"/>
        <v>1.1091771915169919E-2</v>
      </c>
      <c r="P83" s="83">
        <f t="shared" si="21"/>
        <v>2.5445870859633957E-2</v>
      </c>
      <c r="Q83" s="83">
        <f t="shared" si="21"/>
        <v>2.8615562949725695E-2</v>
      </c>
      <c r="R83" s="83">
        <f t="shared" si="21"/>
        <v>3.7735769191842544E-2</v>
      </c>
      <c r="S83" s="83">
        <f t="shared" si="21"/>
        <v>0.11853522599346879</v>
      </c>
      <c r="T83" s="83">
        <f t="shared" si="21"/>
        <v>0.12688027457877815</v>
      </c>
      <c r="U83" s="99">
        <f t="shared" si="21"/>
        <v>0.12267240719138231</v>
      </c>
    </row>
    <row r="84" spans="1:21" x14ac:dyDescent="0.2">
      <c r="A84" s="83" t="s">
        <v>70</v>
      </c>
      <c r="B84" s="98">
        <f t="shared" si="20"/>
        <v>3.8485919560176954E-2</v>
      </c>
      <c r="C84" s="83">
        <f t="shared" si="21"/>
        <v>4.2594821740222305E-2</v>
      </c>
      <c r="D84" s="83">
        <f t="shared" si="21"/>
        <v>4.7595102491046565E-2</v>
      </c>
      <c r="E84" s="83">
        <f t="shared" si="21"/>
        <v>4.5387241211712746E-2</v>
      </c>
      <c r="F84" s="83">
        <f t="shared" si="21"/>
        <v>4.4955402142516337E-2</v>
      </c>
      <c r="G84" s="83">
        <f t="shared" si="21"/>
        <v>3.6011772103444091E-2</v>
      </c>
      <c r="H84" s="83">
        <f t="shared" si="21"/>
        <v>4.9466427241204751E-2</v>
      </c>
      <c r="I84" s="84">
        <f t="shared" si="21"/>
        <v>3.0378585516770973E-2</v>
      </c>
      <c r="J84" s="83">
        <f t="shared" si="21"/>
        <v>3.7205728640150593E-2</v>
      </c>
      <c r="K84" s="83">
        <f t="shared" si="21"/>
        <v>3.5752058094363486E-2</v>
      </c>
      <c r="L84" s="83">
        <f t="shared" si="21"/>
        <v>2.9958801693557451E-2</v>
      </c>
      <c r="M84" s="83">
        <f t="shared" si="21"/>
        <v>3.9141259002522626E-2</v>
      </c>
      <c r="N84" s="83">
        <f t="shared" si="21"/>
        <v>3.7433316615047674E-2</v>
      </c>
      <c r="O84" s="83">
        <f t="shared" si="21"/>
        <v>7.1754699196158274E-3</v>
      </c>
      <c r="P84" s="83">
        <f t="shared" si="21"/>
        <v>1.6235956964251383E-2</v>
      </c>
      <c r="Q84" s="83">
        <f t="shared" si="21"/>
        <v>1.8357042436358904E-2</v>
      </c>
      <c r="R84" s="83">
        <f t="shared" si="21"/>
        <v>2.4072143077225324E-2</v>
      </c>
      <c r="S84" s="83">
        <f t="shared" si="21"/>
        <v>7.6282776838998562E-2</v>
      </c>
      <c r="T84" s="83">
        <f t="shared" si="21"/>
        <v>8.0894231006729711E-2</v>
      </c>
      <c r="U84" s="99">
        <f t="shared" si="21"/>
        <v>7.7787708893042748E-2</v>
      </c>
    </row>
    <row r="85" spans="1:21" x14ac:dyDescent="0.2">
      <c r="A85" s="83" t="s">
        <v>68</v>
      </c>
      <c r="B85" s="98">
        <f t="shared" si="20"/>
        <v>4.5036927686877365E-2</v>
      </c>
      <c r="C85" s="83">
        <f t="shared" si="21"/>
        <v>5.0050621135768601E-2</v>
      </c>
      <c r="D85" s="83">
        <f t="shared" si="21"/>
        <v>5.6159172873191415E-2</v>
      </c>
      <c r="E85" s="83">
        <f t="shared" si="21"/>
        <v>5.2943160110819218E-2</v>
      </c>
      <c r="F85" s="83">
        <f t="shared" si="21"/>
        <v>5.3301025597497359E-2</v>
      </c>
      <c r="G85" s="83">
        <f t="shared" si="21"/>
        <v>4.2395056192937541E-2</v>
      </c>
      <c r="H85" s="83">
        <f t="shared" si="21"/>
        <v>5.7793490468792737E-2</v>
      </c>
      <c r="I85" s="83">
        <f t="shared" si="21"/>
        <v>3.7205728640150593E-2</v>
      </c>
      <c r="J85" s="84">
        <f t="shared" si="21"/>
        <v>4.0767426195842588E-2</v>
      </c>
      <c r="K85" s="83">
        <f t="shared" si="21"/>
        <v>4.2383345792805664E-2</v>
      </c>
      <c r="L85" s="83">
        <f t="shared" si="21"/>
        <v>3.5406032471130278E-2</v>
      </c>
      <c r="M85" s="83">
        <f t="shared" si="21"/>
        <v>4.711490199628611E-2</v>
      </c>
      <c r="N85" s="83">
        <f t="shared" si="21"/>
        <v>4.4967835874501101E-2</v>
      </c>
      <c r="O85" s="83">
        <f t="shared" si="21"/>
        <v>8.3418519133434069E-3</v>
      </c>
      <c r="P85" s="83">
        <f t="shared" si="21"/>
        <v>1.9265067806324657E-2</v>
      </c>
      <c r="Q85" s="83">
        <f t="shared" si="21"/>
        <v>2.1683767306453841E-2</v>
      </c>
      <c r="R85" s="83">
        <f t="shared" si="21"/>
        <v>2.8692220368357727E-2</v>
      </c>
      <c r="S85" s="83">
        <f t="shared" si="21"/>
        <v>9.0310814367360562E-2</v>
      </c>
      <c r="T85" s="83">
        <f t="shared" si="21"/>
        <v>9.511788067234192E-2</v>
      </c>
      <c r="U85" s="99">
        <f t="shared" si="21"/>
        <v>9.3594639351050071E-2</v>
      </c>
    </row>
    <row r="86" spans="1:21" x14ac:dyDescent="0.2">
      <c r="A86" s="83" t="s">
        <v>67</v>
      </c>
      <c r="B86" s="98">
        <f t="shared" si="20"/>
        <v>4.3129701748784645E-2</v>
      </c>
      <c r="C86" s="83">
        <f t="shared" si="21"/>
        <v>4.8081381516489913E-2</v>
      </c>
      <c r="D86" s="83">
        <f t="shared" si="21"/>
        <v>5.4135809161713955E-2</v>
      </c>
      <c r="E86" s="83">
        <f t="shared" si="21"/>
        <v>5.0891511333121073E-2</v>
      </c>
      <c r="F86" s="83">
        <f t="shared" si="21"/>
        <v>5.0946994622780295E-2</v>
      </c>
      <c r="G86" s="83">
        <f t="shared" si="21"/>
        <v>4.0414212049753845E-2</v>
      </c>
      <c r="H86" s="83">
        <f t="shared" si="21"/>
        <v>5.5712146007499637E-2</v>
      </c>
      <c r="I86" s="83">
        <f t="shared" si="21"/>
        <v>3.5752058094363486E-2</v>
      </c>
      <c r="J86" s="83">
        <f t="shared" si="21"/>
        <v>4.2383345792805664E-2</v>
      </c>
      <c r="K86" s="84">
        <f t="shared" si="21"/>
        <v>3.8523833853401558E-2</v>
      </c>
      <c r="L86" s="83">
        <f t="shared" si="21"/>
        <v>3.3740321375792449E-2</v>
      </c>
      <c r="M86" s="83">
        <f t="shared" si="21"/>
        <v>4.4805230969462408E-2</v>
      </c>
      <c r="N86" s="83">
        <f t="shared" si="21"/>
        <v>4.3125648058326291E-2</v>
      </c>
      <c r="O86" s="83">
        <f t="shared" si="21"/>
        <v>8.1096679175408741E-3</v>
      </c>
      <c r="P86" s="83">
        <f t="shared" si="21"/>
        <v>1.875130075944359E-2</v>
      </c>
      <c r="Q86" s="83">
        <f t="shared" si="21"/>
        <v>2.1068258084514648E-2</v>
      </c>
      <c r="R86" s="83">
        <f t="shared" si="21"/>
        <v>2.7804336325583469E-2</v>
      </c>
      <c r="S86" s="83">
        <f t="shared" si="21"/>
        <v>8.6293289095326992E-2</v>
      </c>
      <c r="T86" s="83">
        <f t="shared" si="21"/>
        <v>9.2992208661964171E-2</v>
      </c>
      <c r="U86" s="99">
        <f t="shared" si="21"/>
        <v>8.94212348985505E-2</v>
      </c>
    </row>
    <row r="87" spans="1:21" x14ac:dyDescent="0.2">
      <c r="A87" s="83" t="s">
        <v>66</v>
      </c>
      <c r="B87" s="98">
        <f t="shared" si="20"/>
        <v>3.6098101233167861E-2</v>
      </c>
      <c r="C87" s="83">
        <f t="shared" si="21"/>
        <v>4.005237285839694E-2</v>
      </c>
      <c r="D87" s="83">
        <f t="shared" si="21"/>
        <v>4.4787244691485095E-2</v>
      </c>
      <c r="E87" s="83">
        <f t="shared" si="21"/>
        <v>4.2635199638763902E-2</v>
      </c>
      <c r="F87" s="83">
        <f t="shared" si="21"/>
        <v>4.2364534987667443E-2</v>
      </c>
      <c r="G87" s="83">
        <f t="shared" si="21"/>
        <v>3.3820977799797293E-2</v>
      </c>
      <c r="H87" s="83">
        <f t="shared" si="21"/>
        <v>4.6314672616371906E-2</v>
      </c>
      <c r="I87" s="83">
        <f t="shared" si="21"/>
        <v>2.9958801693557451E-2</v>
      </c>
      <c r="J87" s="83">
        <f t="shared" si="21"/>
        <v>3.5406032471130278E-2</v>
      </c>
      <c r="K87" s="83">
        <f t="shared" si="21"/>
        <v>3.3740321375792449E-2</v>
      </c>
      <c r="L87" s="84">
        <f t="shared" si="21"/>
        <v>2.6192154750819523E-2</v>
      </c>
      <c r="M87" s="83">
        <f t="shared" si="21"/>
        <v>3.7360401869393406E-2</v>
      </c>
      <c r="N87" s="83">
        <f t="shared" si="21"/>
        <v>3.5738566656614942E-2</v>
      </c>
      <c r="O87" s="83">
        <f t="shared" si="21"/>
        <v>6.7100790259764006E-3</v>
      </c>
      <c r="P87" s="83">
        <f t="shared" si="21"/>
        <v>1.5383514516022188E-2</v>
      </c>
      <c r="Q87" s="83">
        <f t="shared" si="21"/>
        <v>1.7396923685632473E-2</v>
      </c>
      <c r="R87" s="83">
        <f t="shared" si="21"/>
        <v>2.2919304544473915E-2</v>
      </c>
      <c r="S87" s="83">
        <f t="shared" si="21"/>
        <v>7.1349024984666123E-2</v>
      </c>
      <c r="T87" s="83">
        <f t="shared" si="21"/>
        <v>7.5804674703154828E-2</v>
      </c>
      <c r="U87" s="99">
        <f t="shared" si="21"/>
        <v>7.4481262978930929E-2</v>
      </c>
    </row>
    <row r="88" spans="1:21" x14ac:dyDescent="0.2">
      <c r="A88" s="83" t="s">
        <v>65</v>
      </c>
      <c r="B88" s="98">
        <f t="shared" si="20"/>
        <v>4.7608832095296108E-2</v>
      </c>
      <c r="C88" s="83">
        <f t="shared" si="21"/>
        <v>5.29338811510804E-2</v>
      </c>
      <c r="D88" s="83">
        <f t="shared" si="21"/>
        <v>5.9560799277714759E-2</v>
      </c>
      <c r="E88" s="83">
        <f t="shared" si="21"/>
        <v>5.5556734638575814E-2</v>
      </c>
      <c r="F88" s="83">
        <f t="shared" si="21"/>
        <v>5.6881485152193857E-2</v>
      </c>
      <c r="G88" s="83">
        <f t="shared" si="21"/>
        <v>4.5064581410350683E-2</v>
      </c>
      <c r="H88" s="83">
        <f t="shared" si="21"/>
        <v>6.0953821728338603E-2</v>
      </c>
      <c r="I88" s="83">
        <f t="shared" si="21"/>
        <v>3.9141259002522626E-2</v>
      </c>
      <c r="J88" s="83">
        <f t="shared" si="21"/>
        <v>4.711490199628611E-2</v>
      </c>
      <c r="K88" s="83">
        <f t="shared" si="21"/>
        <v>4.4805230969462408E-2</v>
      </c>
      <c r="L88" s="83">
        <f t="shared" si="21"/>
        <v>3.7360401869393406E-2</v>
      </c>
      <c r="M88" s="84">
        <f t="shared" si="21"/>
        <v>4.6420022901185375E-2</v>
      </c>
      <c r="N88" s="83">
        <f t="shared" si="21"/>
        <v>4.7880185586448354E-2</v>
      </c>
      <c r="O88" s="83">
        <f t="shared" si="21"/>
        <v>8.654562153046089E-3</v>
      </c>
      <c r="P88" s="83">
        <f t="shared" si="21"/>
        <v>2.0313793906307998E-2</v>
      </c>
      <c r="Q88" s="83">
        <f t="shared" si="21"/>
        <v>2.2699767168383702E-2</v>
      </c>
      <c r="R88" s="83">
        <f t="shared" si="21"/>
        <v>3.0238116846834823E-2</v>
      </c>
      <c r="S88" s="83">
        <f t="shared" si="21"/>
        <v>9.6735031360583312E-2</v>
      </c>
      <c r="T88" s="83">
        <f t="shared" si="21"/>
        <v>0.10039448036443764</v>
      </c>
      <c r="U88" s="99">
        <f t="shared" si="21"/>
        <v>9.9078331984535861E-2</v>
      </c>
    </row>
    <row r="89" spans="1:21" x14ac:dyDescent="0.2">
      <c r="A89" s="83" t="s">
        <v>64</v>
      </c>
      <c r="B89" s="98">
        <f t="shared" si="20"/>
        <v>4.5515079641609349E-2</v>
      </c>
      <c r="C89" s="83">
        <f t="shared" si="21"/>
        <v>5.0681233983137279E-2</v>
      </c>
      <c r="D89" s="83">
        <f t="shared" si="21"/>
        <v>5.6953243325560551E-2</v>
      </c>
      <c r="E89" s="83">
        <f t="shared" si="21"/>
        <v>5.3226963766230359E-2</v>
      </c>
      <c r="F89" s="83">
        <f t="shared" si="21"/>
        <v>5.4113231287448597E-2</v>
      </c>
      <c r="G89" s="83">
        <f t="shared" si="21"/>
        <v>4.2990411067234072E-2</v>
      </c>
      <c r="H89" s="83">
        <f t="shared" si="21"/>
        <v>5.8389499709210951E-2</v>
      </c>
      <c r="I89" s="83">
        <f t="shared" si="21"/>
        <v>3.7433316615047674E-2</v>
      </c>
      <c r="J89" s="83">
        <f t="shared" si="21"/>
        <v>4.4967835874501101E-2</v>
      </c>
      <c r="K89" s="83">
        <f t="shared" si="21"/>
        <v>4.3125648058326291E-2</v>
      </c>
      <c r="L89" s="83">
        <f t="shared" si="21"/>
        <v>3.5738566656614942E-2</v>
      </c>
      <c r="M89" s="83">
        <f t="shared" si="21"/>
        <v>4.7880185586448354E-2</v>
      </c>
      <c r="N89" s="84">
        <f t="shared" si="21"/>
        <v>4.212135017407017E-2</v>
      </c>
      <c r="O89" s="83">
        <f t="shared" si="21"/>
        <v>8.3738554862860144E-3</v>
      </c>
      <c r="P89" s="83">
        <f t="shared" si="21"/>
        <v>1.9546498248456636E-2</v>
      </c>
      <c r="Q89" s="83">
        <f t="shared" si="21"/>
        <v>2.1955447574289636E-2</v>
      </c>
      <c r="R89" s="83">
        <f t="shared" si="21"/>
        <v>2.9139442200136163E-2</v>
      </c>
      <c r="S89" s="83">
        <f t="shared" si="21"/>
        <v>9.1934985249730136E-2</v>
      </c>
      <c r="T89" s="83">
        <f t="shared" si="21"/>
        <v>9.6652094198281135E-2</v>
      </c>
      <c r="U89" s="99">
        <f t="shared" si="21"/>
        <v>9.4792059121069625E-2</v>
      </c>
    </row>
    <row r="90" spans="1:21" x14ac:dyDescent="0.2">
      <c r="A90" s="83" t="s">
        <v>62</v>
      </c>
      <c r="B90" s="98">
        <f t="shared" si="20"/>
        <v>8.4941233912779711E-3</v>
      </c>
      <c r="C90" s="83">
        <f t="shared" si="21"/>
        <v>9.4874891376863068E-3</v>
      </c>
      <c r="D90" s="83">
        <f t="shared" si="21"/>
        <v>1.0568133289132765E-2</v>
      </c>
      <c r="E90" s="83">
        <f t="shared" si="21"/>
        <v>1.0290839639571269E-2</v>
      </c>
      <c r="F90" s="83">
        <f t="shared" si="21"/>
        <v>9.8256661610710023E-3</v>
      </c>
      <c r="G90" s="83">
        <f t="shared" si="21"/>
        <v>7.8458610011986236E-3</v>
      </c>
      <c r="H90" s="83">
        <f t="shared" si="21"/>
        <v>1.1091771915169919E-2</v>
      </c>
      <c r="I90" s="83">
        <f t="shared" si="21"/>
        <v>7.1754699196158274E-3</v>
      </c>
      <c r="J90" s="83">
        <f t="shared" si="21"/>
        <v>8.3418519133434069E-3</v>
      </c>
      <c r="K90" s="83">
        <f t="shared" si="21"/>
        <v>8.1096679175408741E-3</v>
      </c>
      <c r="L90" s="83">
        <f t="shared" si="21"/>
        <v>6.7100790259764006E-3</v>
      </c>
      <c r="M90" s="83">
        <f t="shared" si="21"/>
        <v>8.654562153046089E-3</v>
      </c>
      <c r="N90" s="83">
        <f t="shared" si="21"/>
        <v>8.3738554862860144E-3</v>
      </c>
      <c r="O90" s="84">
        <f t="shared" si="21"/>
        <v>1.7135460512746634E-3</v>
      </c>
      <c r="P90" s="83">
        <f t="shared" si="21"/>
        <v>3.815811416215167E-3</v>
      </c>
      <c r="Q90" s="83">
        <f t="shared" si="21"/>
        <v>4.3881903560674691E-3</v>
      </c>
      <c r="R90" s="83">
        <f t="shared" si="21"/>
        <v>5.6428799783669447E-3</v>
      </c>
      <c r="S90" s="83">
        <f t="shared" si="21"/>
        <v>1.6980802527088393E-2</v>
      </c>
      <c r="T90" s="83">
        <f t="shared" si="21"/>
        <v>1.8595803699815824E-2</v>
      </c>
      <c r="U90" s="99">
        <f t="shared" si="21"/>
        <v>1.8419408193737098E-2</v>
      </c>
    </row>
    <row r="91" spans="1:21" x14ac:dyDescent="0.2">
      <c r="A91" s="83" t="s">
        <v>61</v>
      </c>
      <c r="B91" s="98">
        <f t="shared" si="20"/>
        <v>1.9713324951232503E-2</v>
      </c>
      <c r="C91" s="83">
        <f t="shared" si="21"/>
        <v>2.2052560227146203E-2</v>
      </c>
      <c r="D91" s="83">
        <f t="shared" si="21"/>
        <v>2.4734791808586138E-2</v>
      </c>
      <c r="E91" s="83">
        <f t="shared" si="21"/>
        <v>2.3309624461202057E-2</v>
      </c>
      <c r="F91" s="83">
        <f t="shared" si="21"/>
        <v>2.3187085930749349E-2</v>
      </c>
      <c r="G91" s="83">
        <f t="shared" ref="C91:U96" si="23">(0.15*G43)+(0.85*G67)</f>
        <v>1.8403060856694096E-2</v>
      </c>
      <c r="H91" s="83">
        <f t="shared" si="23"/>
        <v>2.5445870859633957E-2</v>
      </c>
      <c r="I91" s="83">
        <f t="shared" si="23"/>
        <v>1.6235956964251383E-2</v>
      </c>
      <c r="J91" s="83">
        <f t="shared" si="23"/>
        <v>1.9265067806324657E-2</v>
      </c>
      <c r="K91" s="83">
        <f t="shared" si="23"/>
        <v>1.875130075944359E-2</v>
      </c>
      <c r="L91" s="83">
        <f t="shared" si="23"/>
        <v>1.5383514516022188E-2</v>
      </c>
      <c r="M91" s="83">
        <f t="shared" si="23"/>
        <v>2.0313793906307998E-2</v>
      </c>
      <c r="N91" s="83">
        <f t="shared" si="23"/>
        <v>1.9546498248456636E-2</v>
      </c>
      <c r="O91" s="83">
        <f t="shared" si="23"/>
        <v>3.815811416215167E-3</v>
      </c>
      <c r="P91" s="84">
        <f t="shared" si="23"/>
        <v>8.0681035916721072E-3</v>
      </c>
      <c r="Q91" s="83">
        <f t="shared" si="23"/>
        <v>9.6929118918884088E-3</v>
      </c>
      <c r="R91" s="83">
        <f t="shared" si="23"/>
        <v>1.2778902247476225E-2</v>
      </c>
      <c r="S91" s="83">
        <f t="shared" si="23"/>
        <v>3.9212233588745579E-2</v>
      </c>
      <c r="T91" s="83">
        <f t="shared" si="23"/>
        <v>4.2498719651441412E-2</v>
      </c>
      <c r="U91" s="99">
        <f t="shared" si="23"/>
        <v>4.1030776821705923E-2</v>
      </c>
    </row>
    <row r="92" spans="1:21" x14ac:dyDescent="0.2">
      <c r="A92" s="83" t="s">
        <v>60</v>
      </c>
      <c r="B92" s="98">
        <f t="shared" si="20"/>
        <v>2.2075571668793686E-2</v>
      </c>
      <c r="C92" s="83">
        <f t="shared" si="23"/>
        <v>2.4572119932935062E-2</v>
      </c>
      <c r="D92" s="83">
        <f t="shared" si="23"/>
        <v>2.7500927135699037E-2</v>
      </c>
      <c r="E92" s="83">
        <f t="shared" si="23"/>
        <v>2.618669435507575E-2</v>
      </c>
      <c r="F92" s="83">
        <f t="shared" si="23"/>
        <v>2.5773801767611893E-2</v>
      </c>
      <c r="G92" s="83">
        <f t="shared" si="23"/>
        <v>2.0554715344417156E-2</v>
      </c>
      <c r="H92" s="83">
        <f t="shared" si="23"/>
        <v>2.8615562949725695E-2</v>
      </c>
      <c r="I92" s="83">
        <f t="shared" si="23"/>
        <v>1.8357042436358904E-2</v>
      </c>
      <c r="J92" s="83">
        <f t="shared" si="23"/>
        <v>2.1683767306453841E-2</v>
      </c>
      <c r="K92" s="83">
        <f t="shared" si="23"/>
        <v>2.1068258084514648E-2</v>
      </c>
      <c r="L92" s="83">
        <f t="shared" si="23"/>
        <v>1.7396923685632473E-2</v>
      </c>
      <c r="M92" s="83">
        <f t="shared" si="23"/>
        <v>2.2699767168383702E-2</v>
      </c>
      <c r="N92" s="83">
        <f t="shared" si="23"/>
        <v>2.1955447574289636E-2</v>
      </c>
      <c r="O92" s="83">
        <f t="shared" si="23"/>
        <v>4.3881903560674691E-3</v>
      </c>
      <c r="P92" s="83">
        <f t="shared" si="23"/>
        <v>9.6929118918884088E-3</v>
      </c>
      <c r="Q92" s="84">
        <f t="shared" si="23"/>
        <v>1.0323803764626554E-2</v>
      </c>
      <c r="R92" s="83">
        <f t="shared" si="23"/>
        <v>1.4581284140793467E-2</v>
      </c>
      <c r="S92" s="83">
        <f t="shared" si="23"/>
        <v>4.365939438619771E-2</v>
      </c>
      <c r="T92" s="83">
        <f t="shared" si="23"/>
        <v>4.7991488823231648E-2</v>
      </c>
      <c r="U92" s="99">
        <f t="shared" si="23"/>
        <v>4.6507573929672891E-2</v>
      </c>
    </row>
    <row r="93" spans="1:21" x14ac:dyDescent="0.2">
      <c r="A93" s="83" t="s">
        <v>59</v>
      </c>
      <c r="B93" s="98">
        <f t="shared" si="20"/>
        <v>2.9155756736689378E-2</v>
      </c>
      <c r="C93" s="83">
        <f t="shared" si="23"/>
        <v>3.2476731227884692E-2</v>
      </c>
      <c r="D93" s="83">
        <f t="shared" si="23"/>
        <v>3.6455627382579577E-2</v>
      </c>
      <c r="E93" s="83">
        <f t="shared" si="23"/>
        <v>3.4510320034443438E-2</v>
      </c>
      <c r="F93" s="83">
        <f t="shared" si="23"/>
        <v>3.4259179823062279E-2</v>
      </c>
      <c r="G93" s="83">
        <f t="shared" si="23"/>
        <v>2.7244681137629168E-2</v>
      </c>
      <c r="H93" s="83">
        <f t="shared" si="23"/>
        <v>3.7735769191842544E-2</v>
      </c>
      <c r="I93" s="83">
        <f t="shared" si="23"/>
        <v>2.4072143077225324E-2</v>
      </c>
      <c r="J93" s="83">
        <f t="shared" si="23"/>
        <v>2.8692220368357727E-2</v>
      </c>
      <c r="K93" s="83">
        <f t="shared" si="23"/>
        <v>2.7804336325583469E-2</v>
      </c>
      <c r="L93" s="83">
        <f t="shared" si="23"/>
        <v>2.2919304544473915E-2</v>
      </c>
      <c r="M93" s="83">
        <f t="shared" si="23"/>
        <v>3.0238116846834823E-2</v>
      </c>
      <c r="N93" s="83">
        <f t="shared" si="23"/>
        <v>2.9139442200136163E-2</v>
      </c>
      <c r="O93" s="83">
        <f t="shared" si="23"/>
        <v>5.6428799783669447E-3</v>
      </c>
      <c r="P93" s="83">
        <f t="shared" si="23"/>
        <v>1.2778902247476225E-2</v>
      </c>
      <c r="Q93" s="83">
        <f t="shared" si="23"/>
        <v>1.4581284140793467E-2</v>
      </c>
      <c r="R93" s="84">
        <f t="shared" si="23"/>
        <v>1.7683492877267771E-2</v>
      </c>
      <c r="S93" s="83">
        <f t="shared" si="23"/>
        <v>5.8313033137081416E-2</v>
      </c>
      <c r="T93" s="83">
        <f t="shared" si="23"/>
        <v>6.3152792264377713E-2</v>
      </c>
      <c r="U93" s="99">
        <f t="shared" si="23"/>
        <v>6.1020156432808642E-2</v>
      </c>
    </row>
    <row r="94" spans="1:21" x14ac:dyDescent="0.2">
      <c r="A94" s="83" t="s">
        <v>80</v>
      </c>
      <c r="B94" s="98">
        <f t="shared" si="20"/>
        <v>9.2188988364018787E-2</v>
      </c>
      <c r="C94" s="83">
        <f t="shared" si="23"/>
        <v>0.10284569007926946</v>
      </c>
      <c r="D94" s="83">
        <f t="shared" si="23"/>
        <v>0.11569463451877991</v>
      </c>
      <c r="E94" s="83">
        <f t="shared" si="23"/>
        <v>0.10786903670155305</v>
      </c>
      <c r="F94" s="83">
        <f t="shared" si="23"/>
        <v>0.10990246472720114</v>
      </c>
      <c r="G94" s="83">
        <f t="shared" si="23"/>
        <v>8.734937062490658E-2</v>
      </c>
      <c r="H94" s="83">
        <f t="shared" si="23"/>
        <v>0.11853522599346879</v>
      </c>
      <c r="I94" s="83">
        <f t="shared" si="23"/>
        <v>7.6282776838998562E-2</v>
      </c>
      <c r="J94" s="83">
        <f t="shared" si="23"/>
        <v>9.0310814367360562E-2</v>
      </c>
      <c r="K94" s="83">
        <f t="shared" si="23"/>
        <v>8.6293289095326992E-2</v>
      </c>
      <c r="L94" s="83">
        <f t="shared" si="23"/>
        <v>7.1349024984666123E-2</v>
      </c>
      <c r="M94" s="83">
        <f t="shared" si="23"/>
        <v>9.6735031360583312E-2</v>
      </c>
      <c r="N94" s="83">
        <f t="shared" si="23"/>
        <v>9.1934985249730136E-2</v>
      </c>
      <c r="O94" s="83">
        <f t="shared" si="23"/>
        <v>1.6980802527088393E-2</v>
      </c>
      <c r="P94" s="83">
        <f t="shared" si="23"/>
        <v>3.9212233588745579E-2</v>
      </c>
      <c r="Q94" s="83">
        <f t="shared" si="23"/>
        <v>4.365939438619771E-2</v>
      </c>
      <c r="R94" s="83">
        <f t="shared" si="23"/>
        <v>5.8313033137081416E-2</v>
      </c>
      <c r="S94" s="84">
        <f t="shared" si="23"/>
        <v>0.17874371576671805</v>
      </c>
      <c r="T94" s="83">
        <f t="shared" si="23"/>
        <v>0.19569914565253504</v>
      </c>
      <c r="U94" s="99">
        <f t="shared" si="23"/>
        <v>0.19085483771291509</v>
      </c>
    </row>
    <row r="95" spans="1:21" x14ac:dyDescent="0.2">
      <c r="A95" s="83" t="s">
        <v>79</v>
      </c>
      <c r="B95" s="98">
        <f t="shared" si="20"/>
        <v>9.7744581455125115E-2</v>
      </c>
      <c r="C95" s="83">
        <f t="shared" si="23"/>
        <v>0.10876317673354555</v>
      </c>
      <c r="D95" s="83">
        <f t="shared" si="23"/>
        <v>0.12194815473661753</v>
      </c>
      <c r="E95" s="83">
        <f t="shared" si="23"/>
        <v>0.11528282877369454</v>
      </c>
      <c r="F95" s="83">
        <f t="shared" si="23"/>
        <v>0.11488079836035518</v>
      </c>
      <c r="G95" s="83">
        <f t="shared" si="23"/>
        <v>9.1350133061609745E-2</v>
      </c>
      <c r="H95" s="83">
        <f t="shared" si="23"/>
        <v>0.12688027457877815</v>
      </c>
      <c r="I95" s="83">
        <f t="shared" si="23"/>
        <v>8.0894231006729711E-2</v>
      </c>
      <c r="J95" s="83">
        <f t="shared" si="23"/>
        <v>9.511788067234192E-2</v>
      </c>
      <c r="K95" s="83">
        <f t="shared" si="23"/>
        <v>9.2992208661964171E-2</v>
      </c>
      <c r="L95" s="83">
        <f t="shared" si="23"/>
        <v>7.5804674703154828E-2</v>
      </c>
      <c r="M95" s="83">
        <f t="shared" si="23"/>
        <v>0.10039448036443764</v>
      </c>
      <c r="N95" s="83">
        <f t="shared" si="23"/>
        <v>9.6652094198281135E-2</v>
      </c>
      <c r="O95" s="83">
        <f t="shared" si="23"/>
        <v>1.8595803699815824E-2</v>
      </c>
      <c r="P95" s="83">
        <f t="shared" si="23"/>
        <v>4.2498719651441412E-2</v>
      </c>
      <c r="Q95" s="83">
        <f t="shared" si="23"/>
        <v>4.7991488823231648E-2</v>
      </c>
      <c r="R95" s="83">
        <f t="shared" si="23"/>
        <v>6.3152792264377713E-2</v>
      </c>
      <c r="S95" s="83">
        <f t="shared" si="23"/>
        <v>0.19569914565253504</v>
      </c>
      <c r="T95" s="84">
        <f t="shared" si="23"/>
        <v>0.19755267457507367</v>
      </c>
      <c r="U95" s="99">
        <f t="shared" si="23"/>
        <v>0.20225032074520249</v>
      </c>
    </row>
    <row r="96" spans="1:21" ht="17" thickBot="1" x14ac:dyDescent="0.25">
      <c r="A96" s="85" t="s">
        <v>47</v>
      </c>
      <c r="B96" s="100">
        <f t="shared" si="20"/>
        <v>9.5011434085174373E-2</v>
      </c>
      <c r="C96" s="85">
        <f t="shared" si="23"/>
        <v>0.10580154500911355</v>
      </c>
      <c r="D96" s="85">
        <f t="shared" si="23"/>
        <v>0.11860847056802326</v>
      </c>
      <c r="E96" s="85">
        <f t="shared" si="23"/>
        <v>0.11229038492557553</v>
      </c>
      <c r="F96" s="85">
        <f t="shared" si="23"/>
        <v>0.11162173956208052</v>
      </c>
      <c r="G96" s="85">
        <f t="shared" si="23"/>
        <v>8.8849235454484185E-2</v>
      </c>
      <c r="H96" s="85">
        <f t="shared" si="23"/>
        <v>0.12267240719138231</v>
      </c>
      <c r="I96" s="85">
        <f t="shared" si="23"/>
        <v>7.7787708893042748E-2</v>
      </c>
      <c r="J96" s="85">
        <f t="shared" si="23"/>
        <v>9.3594639351050071E-2</v>
      </c>
      <c r="K96" s="85">
        <f t="shared" si="23"/>
        <v>8.94212348985505E-2</v>
      </c>
      <c r="L96" s="85">
        <f t="shared" si="23"/>
        <v>7.4481262978930929E-2</v>
      </c>
      <c r="M96" s="85">
        <f t="shared" si="23"/>
        <v>9.9078331984535861E-2</v>
      </c>
      <c r="N96" s="85">
        <f t="shared" si="23"/>
        <v>9.4792059121069625E-2</v>
      </c>
      <c r="O96" s="85">
        <f t="shared" si="23"/>
        <v>1.8419408193737098E-2</v>
      </c>
      <c r="P96" s="85">
        <f t="shared" si="23"/>
        <v>4.1030776821705923E-2</v>
      </c>
      <c r="Q96" s="85">
        <f t="shared" si="23"/>
        <v>4.6507573929672891E-2</v>
      </c>
      <c r="R96" s="85">
        <f t="shared" si="23"/>
        <v>6.1020156432808642E-2</v>
      </c>
      <c r="S96" s="85">
        <f t="shared" si="23"/>
        <v>0.19085483771291509</v>
      </c>
      <c r="T96" s="85">
        <f t="shared" si="23"/>
        <v>0.20225032074520249</v>
      </c>
      <c r="U96" s="101">
        <f t="shared" si="23"/>
        <v>0.19202554955055046</v>
      </c>
    </row>
  </sheetData>
  <mergeCells count="4">
    <mergeCell ref="C2:F2"/>
    <mergeCell ref="C26:F26"/>
    <mergeCell ref="C50:F50"/>
    <mergeCell ref="C74:F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4002-745A-FA4A-95A4-6072BB2122A5}">
  <dimension ref="A1:U44"/>
  <sheetViews>
    <sheetView topLeftCell="A17" workbookViewId="0">
      <selection activeCell="K41" sqref="K41"/>
    </sheetView>
  </sheetViews>
  <sheetFormatPr baseColWidth="10" defaultRowHeight="16" x14ac:dyDescent="0.2"/>
  <cols>
    <col min="1" max="16384" width="10.83203125" style="65"/>
  </cols>
  <sheetData>
    <row r="1" spans="1:21" x14ac:dyDescent="0.2">
      <c r="A1" s="82"/>
      <c r="B1" s="82" t="s">
        <v>77</v>
      </c>
      <c r="C1" s="82" t="s">
        <v>76</v>
      </c>
      <c r="D1" s="82" t="s">
        <v>75</v>
      </c>
      <c r="E1" s="82" t="s">
        <v>74</v>
      </c>
      <c r="F1" s="82" t="s">
        <v>73</v>
      </c>
      <c r="G1" s="82" t="s">
        <v>72</v>
      </c>
      <c r="H1" s="82" t="s">
        <v>71</v>
      </c>
      <c r="I1" s="82" t="s">
        <v>70</v>
      </c>
      <c r="J1" s="82" t="s">
        <v>68</v>
      </c>
      <c r="K1" s="82" t="s">
        <v>67</v>
      </c>
      <c r="L1" s="82" t="s">
        <v>66</v>
      </c>
      <c r="M1" s="82" t="s">
        <v>65</v>
      </c>
      <c r="N1" s="82" t="s">
        <v>64</v>
      </c>
      <c r="O1" s="82" t="s">
        <v>62</v>
      </c>
      <c r="P1" s="82" t="s">
        <v>61</v>
      </c>
      <c r="Q1" s="82" t="s">
        <v>60</v>
      </c>
      <c r="R1" s="82" t="s">
        <v>59</v>
      </c>
      <c r="S1" s="82" t="s">
        <v>80</v>
      </c>
      <c r="T1" s="82" t="s">
        <v>79</v>
      </c>
      <c r="U1" s="82" t="s">
        <v>47</v>
      </c>
    </row>
    <row r="2" spans="1:21" x14ac:dyDescent="0.2">
      <c r="A2" s="83" t="s">
        <v>77</v>
      </c>
      <c r="B2" s="83">
        <v>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</row>
    <row r="3" spans="1:21" x14ac:dyDescent="0.2">
      <c r="A3" s="83" t="s">
        <v>76</v>
      </c>
      <c r="B3" s="83">
        <v>0.90234957138349647</v>
      </c>
      <c r="C3" s="83">
        <v>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</row>
    <row r="4" spans="1:21" x14ac:dyDescent="0.2">
      <c r="A4" s="83" t="s">
        <v>75</v>
      </c>
      <c r="B4" s="83">
        <v>0.90436192690352246</v>
      </c>
      <c r="C4" s="83">
        <v>0.9986163822044839</v>
      </c>
      <c r="D4" s="83">
        <v>1</v>
      </c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1" x14ac:dyDescent="0.2">
      <c r="A5" s="83" t="s">
        <v>74</v>
      </c>
      <c r="B5" s="83">
        <v>0.86490389015251479</v>
      </c>
      <c r="C5" s="83">
        <v>0.962156783336091</v>
      </c>
      <c r="D5" s="83">
        <v>0.95059357703735803</v>
      </c>
      <c r="E5" s="83">
        <v>1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</row>
    <row r="6" spans="1:21" x14ac:dyDescent="0.2">
      <c r="A6" s="83" t="s">
        <v>73</v>
      </c>
      <c r="B6" s="83">
        <v>0.89048669995854746</v>
      </c>
      <c r="C6" s="83">
        <v>0.98529033720498005</v>
      </c>
      <c r="D6" s="83">
        <v>0.99041246758455526</v>
      </c>
      <c r="E6" s="83">
        <v>0.91208751170793667</v>
      </c>
      <c r="F6" s="83">
        <v>1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</row>
    <row r="7" spans="1:21" x14ac:dyDescent="0.2">
      <c r="A7" s="83" t="s">
        <v>72</v>
      </c>
      <c r="B7" s="83">
        <v>0.88963742206854635</v>
      </c>
      <c r="C7" s="83">
        <v>0.98949598800751037</v>
      </c>
      <c r="D7" s="83">
        <v>0.99199721369088179</v>
      </c>
      <c r="E7" s="83">
        <v>0.92489002546585097</v>
      </c>
      <c r="F7" s="83">
        <v>0.9981961528595289</v>
      </c>
      <c r="G7" s="83">
        <v>1</v>
      </c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</row>
    <row r="8" spans="1:21" x14ac:dyDescent="0.2">
      <c r="A8" s="83" t="s">
        <v>71</v>
      </c>
      <c r="B8" s="83">
        <v>0.89455443029772441</v>
      </c>
      <c r="C8" s="83">
        <v>0.98910852173397568</v>
      </c>
      <c r="D8" s="83">
        <v>0.98278423432229456</v>
      </c>
      <c r="E8" s="83">
        <v>0.98340088983794238</v>
      </c>
      <c r="F8" s="83">
        <v>0.95529568175770641</v>
      </c>
      <c r="G8" s="83">
        <v>0.96315437582496166</v>
      </c>
      <c r="H8" s="83">
        <v>1</v>
      </c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</row>
    <row r="9" spans="1:21" x14ac:dyDescent="0.2">
      <c r="A9" s="83" t="s">
        <v>70</v>
      </c>
      <c r="B9" s="83">
        <v>0.85616576210443862</v>
      </c>
      <c r="C9" s="83">
        <v>0.95823578861991132</v>
      </c>
      <c r="D9" s="83">
        <v>0.9507023995857542</v>
      </c>
      <c r="E9" s="83">
        <v>0.94880058998118211</v>
      </c>
      <c r="F9" s="83">
        <v>0.93933716079085627</v>
      </c>
      <c r="G9" s="83">
        <v>0.95235664052873492</v>
      </c>
      <c r="H9" s="83">
        <v>0.96123338420544935</v>
      </c>
      <c r="I9" s="83">
        <v>1</v>
      </c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</row>
    <row r="10" spans="1:21" x14ac:dyDescent="0.2">
      <c r="A10" s="83" t="s">
        <v>68</v>
      </c>
      <c r="B10" s="83">
        <v>0.89821392196215033</v>
      </c>
      <c r="C10" s="83">
        <v>0.98742194268265726</v>
      </c>
      <c r="D10" s="83">
        <v>0.98956730125854808</v>
      </c>
      <c r="E10" s="83">
        <v>0.93049655713383128</v>
      </c>
      <c r="F10" s="83">
        <v>0.98575461348689508</v>
      </c>
      <c r="G10" s="83">
        <v>0.98573952094503026</v>
      </c>
      <c r="H10" s="83">
        <v>0.9653898898677824</v>
      </c>
      <c r="I10" s="83">
        <v>0.919873231325116</v>
      </c>
      <c r="J10" s="83">
        <v>1</v>
      </c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</row>
    <row r="11" spans="1:21" x14ac:dyDescent="0.2">
      <c r="A11" s="83" t="s">
        <v>67</v>
      </c>
      <c r="B11" s="83">
        <v>0.8925119304955228</v>
      </c>
      <c r="C11" s="83">
        <v>0.96985410084004653</v>
      </c>
      <c r="D11" s="83">
        <v>0.97158827487424382</v>
      </c>
      <c r="E11" s="83">
        <v>0.92940898562581686</v>
      </c>
      <c r="F11" s="83">
        <v>0.94905760063283107</v>
      </c>
      <c r="G11" s="83">
        <v>0.94709413547624821</v>
      </c>
      <c r="H11" s="83">
        <v>0.97052715139055545</v>
      </c>
      <c r="I11" s="83">
        <v>0.91779063245765524</v>
      </c>
      <c r="J11" s="83">
        <v>0.96245718999365648</v>
      </c>
      <c r="K11" s="83">
        <v>1</v>
      </c>
      <c r="L11" s="83"/>
      <c r="M11" s="83"/>
      <c r="N11" s="83"/>
      <c r="O11" s="83"/>
      <c r="P11" s="83"/>
      <c r="Q11" s="83"/>
      <c r="R11" s="83"/>
      <c r="S11" s="83"/>
      <c r="T11" s="83"/>
      <c r="U11" s="83"/>
    </row>
    <row r="12" spans="1:21" x14ac:dyDescent="0.2">
      <c r="A12" s="83" t="s">
        <v>66</v>
      </c>
      <c r="B12" s="83">
        <v>0.89539419412786947</v>
      </c>
      <c r="C12" s="83">
        <v>0.98859439536097515</v>
      </c>
      <c r="D12" s="83">
        <v>0.98473502838612426</v>
      </c>
      <c r="E12" s="83">
        <v>0.96321041020276665</v>
      </c>
      <c r="F12" s="83">
        <v>0.96952644049336401</v>
      </c>
      <c r="G12" s="83">
        <v>0.97496126424745322</v>
      </c>
      <c r="H12" s="83">
        <v>0.98045140601505276</v>
      </c>
      <c r="I12" s="83">
        <v>0.94076947801985011</v>
      </c>
      <c r="J12" s="83">
        <v>0.99141002268818945</v>
      </c>
      <c r="K12" s="83">
        <v>0.96215545914609091</v>
      </c>
      <c r="L12" s="83">
        <v>1</v>
      </c>
      <c r="M12" s="83"/>
      <c r="N12" s="83"/>
      <c r="O12" s="83"/>
      <c r="P12" s="83"/>
      <c r="Q12" s="83"/>
      <c r="R12" s="83"/>
      <c r="S12" s="83"/>
      <c r="T12" s="83"/>
      <c r="U12" s="83"/>
    </row>
    <row r="13" spans="1:21" x14ac:dyDescent="0.2">
      <c r="A13" s="83" t="s">
        <v>65</v>
      </c>
      <c r="B13" s="83">
        <v>0.87986787477081574</v>
      </c>
      <c r="C13" s="83">
        <v>0.96679693900970831</v>
      </c>
      <c r="D13" s="83">
        <v>0.97485783349264621</v>
      </c>
      <c r="E13" s="83">
        <v>0.87863904944376492</v>
      </c>
      <c r="F13" s="83">
        <v>0.98796101265921776</v>
      </c>
      <c r="G13" s="83">
        <v>0.98331506658111245</v>
      </c>
      <c r="H13" s="83">
        <v>0.92738590519898534</v>
      </c>
      <c r="I13" s="83">
        <v>0.88862190897587545</v>
      </c>
      <c r="J13" s="83">
        <v>0.98911717840721958</v>
      </c>
      <c r="K13" s="83">
        <v>0.93122382303926021</v>
      </c>
      <c r="L13" s="83">
        <v>0.96328417436258074</v>
      </c>
      <c r="M13" s="83">
        <v>1</v>
      </c>
      <c r="N13" s="83"/>
      <c r="O13" s="83"/>
      <c r="P13" s="83"/>
      <c r="Q13" s="83"/>
      <c r="R13" s="83"/>
      <c r="S13" s="83"/>
      <c r="T13" s="83"/>
      <c r="U13" s="83"/>
    </row>
    <row r="14" spans="1:21" x14ac:dyDescent="0.2">
      <c r="A14" s="83" t="s">
        <v>64</v>
      </c>
      <c r="B14" s="83">
        <v>0.89646902074963952</v>
      </c>
      <c r="C14" s="83">
        <v>0.98130962417673107</v>
      </c>
      <c r="D14" s="83">
        <v>0.98673741791462477</v>
      </c>
      <c r="E14" s="83">
        <v>0.9069919999875814</v>
      </c>
      <c r="F14" s="83">
        <v>0.98685938741243806</v>
      </c>
      <c r="G14" s="83">
        <v>0.98368316139926038</v>
      </c>
      <c r="H14" s="83">
        <v>0.95437948801284189</v>
      </c>
      <c r="I14" s="83">
        <v>0.90408577173112981</v>
      </c>
      <c r="J14" s="83">
        <v>0.99658728097477067</v>
      </c>
      <c r="K14" s="83">
        <v>0.96499831115328794</v>
      </c>
      <c r="L14" s="83">
        <v>0.97875669750994332</v>
      </c>
      <c r="M14" s="83">
        <v>0.99305698364600858</v>
      </c>
      <c r="N14" s="83">
        <v>1</v>
      </c>
      <c r="O14" s="83"/>
      <c r="P14" s="83"/>
      <c r="Q14" s="83"/>
      <c r="R14" s="83"/>
      <c r="S14" s="83"/>
      <c r="T14" s="83"/>
      <c r="U14" s="83"/>
    </row>
    <row r="15" spans="1:21" x14ac:dyDescent="0.2">
      <c r="A15" s="83" t="s">
        <v>62</v>
      </c>
      <c r="B15" s="83">
        <v>0.46824184113804884</v>
      </c>
      <c r="C15" s="83">
        <v>0.47575114969085558</v>
      </c>
      <c r="D15" s="83">
        <v>0.45255053477893065</v>
      </c>
      <c r="E15" s="83">
        <v>0.56850864602031437</v>
      </c>
      <c r="F15" s="83">
        <v>0.3415399817011075</v>
      </c>
      <c r="G15" s="83">
        <v>0.35692431144300446</v>
      </c>
      <c r="H15" s="83">
        <v>0.55538848731516166</v>
      </c>
      <c r="I15" s="83">
        <v>0.39179078373030085</v>
      </c>
      <c r="J15" s="83">
        <v>0.45472351805141126</v>
      </c>
      <c r="K15" s="83">
        <v>0.55083007221011793</v>
      </c>
      <c r="L15" s="83">
        <v>0.50819411391686442</v>
      </c>
      <c r="M15" s="83">
        <v>0.34898497910517728</v>
      </c>
      <c r="N15" s="83">
        <v>0.4399186642916299</v>
      </c>
      <c r="O15" s="83">
        <v>1</v>
      </c>
      <c r="P15" s="83"/>
      <c r="Q15" s="83"/>
      <c r="R15" s="83"/>
      <c r="S15" s="83"/>
      <c r="T15" s="83"/>
      <c r="U15" s="83"/>
    </row>
    <row r="16" spans="1:21" x14ac:dyDescent="0.2">
      <c r="A16" s="83" t="s">
        <v>61</v>
      </c>
      <c r="B16" s="83">
        <v>0.88468375483111739</v>
      </c>
      <c r="C16" s="83">
        <v>0.96514944855771745</v>
      </c>
      <c r="D16" s="83">
        <v>0.96220113035467725</v>
      </c>
      <c r="E16" s="83">
        <v>0.94082093381973608</v>
      </c>
      <c r="F16" s="83">
        <v>0.92710614489798404</v>
      </c>
      <c r="G16" s="83">
        <v>0.92796168454450623</v>
      </c>
      <c r="H16" s="83">
        <v>0.97428572497125132</v>
      </c>
      <c r="I16" s="83">
        <v>0.90166509842505693</v>
      </c>
      <c r="J16" s="83">
        <v>0.95021205460681435</v>
      </c>
      <c r="K16" s="83">
        <v>0.98725364209778288</v>
      </c>
      <c r="L16" s="83">
        <v>0.95815849225145178</v>
      </c>
      <c r="M16" s="83">
        <v>0.90783776374950942</v>
      </c>
      <c r="N16" s="83">
        <v>0.94880618438919051</v>
      </c>
      <c r="O16" s="83">
        <v>0.63703091511987819</v>
      </c>
      <c r="P16" s="83">
        <v>1</v>
      </c>
      <c r="Q16" s="83"/>
      <c r="R16" s="83"/>
      <c r="S16" s="83"/>
      <c r="T16" s="83"/>
      <c r="U16" s="83"/>
    </row>
    <row r="17" spans="1:21" x14ac:dyDescent="0.2">
      <c r="A17" s="83" t="s">
        <v>60</v>
      </c>
      <c r="B17" s="83">
        <v>0.8297972780045868</v>
      </c>
      <c r="C17" s="83">
        <v>0.89404705377642346</v>
      </c>
      <c r="D17" s="83">
        <v>0.88535292648405195</v>
      </c>
      <c r="E17" s="83">
        <v>0.89517537173945838</v>
      </c>
      <c r="F17" s="83">
        <v>0.83150567016852772</v>
      </c>
      <c r="G17" s="83">
        <v>0.83616248822055694</v>
      </c>
      <c r="H17" s="83">
        <v>0.92496999144010683</v>
      </c>
      <c r="I17" s="83">
        <v>0.82591266753549575</v>
      </c>
      <c r="J17" s="83">
        <v>0.88488052823961538</v>
      </c>
      <c r="K17" s="83">
        <v>0.9445066785041909</v>
      </c>
      <c r="L17" s="83">
        <v>0.90597806054524221</v>
      </c>
      <c r="M17" s="83">
        <v>0.82111148673586809</v>
      </c>
      <c r="N17" s="83">
        <v>0.88066903409519581</v>
      </c>
      <c r="O17" s="83">
        <v>0.77897897987028308</v>
      </c>
      <c r="P17" s="83">
        <v>0.97085996373910322</v>
      </c>
      <c r="Q17" s="83">
        <v>1</v>
      </c>
      <c r="R17" s="83"/>
      <c r="S17" s="83"/>
      <c r="T17" s="83"/>
      <c r="U17" s="83"/>
    </row>
    <row r="18" spans="1:21" x14ac:dyDescent="0.2">
      <c r="A18" s="83" t="s">
        <v>59</v>
      </c>
      <c r="B18" s="83">
        <v>0.8830791514666394</v>
      </c>
      <c r="C18" s="83">
        <v>0.95492351749550197</v>
      </c>
      <c r="D18" s="83">
        <v>0.95297495092790396</v>
      </c>
      <c r="E18" s="83">
        <v>0.92515609604072124</v>
      </c>
      <c r="F18" s="83">
        <v>0.9193221932056278</v>
      </c>
      <c r="G18" s="83">
        <v>0.91971435193562168</v>
      </c>
      <c r="H18" s="83">
        <v>0.96529334709280479</v>
      </c>
      <c r="I18" s="83">
        <v>0.88348244209161175</v>
      </c>
      <c r="J18" s="83">
        <v>0.94990176856205466</v>
      </c>
      <c r="K18" s="83">
        <v>0.98396874597067441</v>
      </c>
      <c r="L18" s="83">
        <v>0.95361908419186436</v>
      </c>
      <c r="M18" s="83">
        <v>0.9102636214599592</v>
      </c>
      <c r="N18" s="83">
        <v>0.95160727840392711</v>
      </c>
      <c r="O18" s="83">
        <v>0.65490796808589613</v>
      </c>
      <c r="P18" s="83">
        <v>0.99298429096229501</v>
      </c>
      <c r="Q18" s="83">
        <v>0.97938346572424173</v>
      </c>
      <c r="R18" s="83">
        <v>1</v>
      </c>
      <c r="S18" s="83"/>
      <c r="T18" s="83"/>
      <c r="U18" s="83"/>
    </row>
    <row r="19" spans="1:21" x14ac:dyDescent="0.2">
      <c r="A19" s="83" t="s">
        <v>80</v>
      </c>
      <c r="B19" s="83">
        <v>0.83171369639121029</v>
      </c>
      <c r="C19" s="83">
        <v>0.91687509772214049</v>
      </c>
      <c r="D19" s="83">
        <v>0.9297135185544233</v>
      </c>
      <c r="E19" s="83">
        <v>0.81013027373182711</v>
      </c>
      <c r="F19" s="83">
        <v>0.95182164408019976</v>
      </c>
      <c r="G19" s="83">
        <v>0.94781297385133334</v>
      </c>
      <c r="H19" s="83">
        <v>0.87018625930540539</v>
      </c>
      <c r="I19" s="83">
        <v>0.86066783882555153</v>
      </c>
      <c r="J19" s="83">
        <v>0.91560457210667101</v>
      </c>
      <c r="K19" s="83">
        <v>0.85743627571069037</v>
      </c>
      <c r="L19" s="83">
        <v>0.87371261361368668</v>
      </c>
      <c r="M19" s="83">
        <v>0.94955402636052821</v>
      </c>
      <c r="N19" s="83">
        <v>0.93087685006077558</v>
      </c>
      <c r="O19" s="83">
        <v>0.21999883115254193</v>
      </c>
      <c r="P19" s="83">
        <v>0.82535265737252872</v>
      </c>
      <c r="Q19" s="83">
        <v>0.70641686256626068</v>
      </c>
      <c r="R19" s="83">
        <v>0.82863162188689321</v>
      </c>
      <c r="S19" s="83">
        <v>1</v>
      </c>
      <c r="T19" s="83"/>
      <c r="U19" s="83"/>
    </row>
    <row r="20" spans="1:21" x14ac:dyDescent="0.2">
      <c r="A20" s="83" t="s">
        <v>79</v>
      </c>
      <c r="B20" s="83">
        <v>0.86449957003527134</v>
      </c>
      <c r="C20" s="83">
        <v>0.94116317124694415</v>
      </c>
      <c r="D20" s="83">
        <v>0.9378359548874633</v>
      </c>
      <c r="E20" s="83">
        <v>0.91499695615959009</v>
      </c>
      <c r="F20" s="83">
        <v>0.90554097306009351</v>
      </c>
      <c r="G20" s="83">
        <v>0.90708244809085825</v>
      </c>
      <c r="H20" s="83">
        <v>0.96040824930876922</v>
      </c>
      <c r="I20" s="83">
        <v>0.90435594531566721</v>
      </c>
      <c r="J20" s="83">
        <v>0.91411767933874877</v>
      </c>
      <c r="K20" s="83">
        <v>0.97734008127250516</v>
      </c>
      <c r="L20" s="83">
        <v>0.92131048754536948</v>
      </c>
      <c r="M20" s="83">
        <v>0.87167476928423027</v>
      </c>
      <c r="N20" s="83">
        <v>0.91825670850421015</v>
      </c>
      <c r="O20" s="83">
        <v>0.61941941312699367</v>
      </c>
      <c r="P20" s="83">
        <v>0.98344095918863617</v>
      </c>
      <c r="Q20" s="83">
        <v>0.96054031490689862</v>
      </c>
      <c r="R20" s="83">
        <v>0.98219642178156563</v>
      </c>
      <c r="S20" s="83">
        <v>0.81753558312281593</v>
      </c>
      <c r="T20" s="83">
        <v>1</v>
      </c>
      <c r="U20" s="83"/>
    </row>
    <row r="21" spans="1:21" ht="17" thickBot="1" x14ac:dyDescent="0.25">
      <c r="A21" s="85" t="s">
        <v>47</v>
      </c>
      <c r="B21" s="85">
        <v>0.78193407818540517</v>
      </c>
      <c r="C21" s="85">
        <v>0.84999337744356318</v>
      </c>
      <c r="D21" s="85">
        <v>0.84607518001262993</v>
      </c>
      <c r="E21" s="85">
        <v>0.8167031555715335</v>
      </c>
      <c r="F21" s="85">
        <v>0.8088826737914202</v>
      </c>
      <c r="G21" s="85">
        <v>0.81224097156642006</v>
      </c>
      <c r="H21" s="85">
        <v>0.84078539203053548</v>
      </c>
      <c r="I21" s="85">
        <v>0.71045057223986219</v>
      </c>
      <c r="J21" s="85">
        <v>0.8852635217220749</v>
      </c>
      <c r="K21" s="85">
        <v>0.83258710514931744</v>
      </c>
      <c r="L21" s="85">
        <v>0.882902399985802</v>
      </c>
      <c r="M21" s="85">
        <v>0.85654832176276785</v>
      </c>
      <c r="N21" s="85">
        <v>0.87769813990738665</v>
      </c>
      <c r="O21" s="85">
        <v>0.69390804034149456</v>
      </c>
      <c r="P21" s="85">
        <v>0.86242318443946064</v>
      </c>
      <c r="Q21" s="85">
        <v>0.87123078965623157</v>
      </c>
      <c r="R21" s="85">
        <v>0.87550385842857936</v>
      </c>
      <c r="S21" s="85">
        <v>0.73293807644345899</v>
      </c>
      <c r="T21" s="85">
        <v>0.7887096848959535</v>
      </c>
      <c r="U21" s="85">
        <v>1</v>
      </c>
    </row>
    <row r="23" spans="1:21" ht="17" thickBot="1" x14ac:dyDescent="0.25">
      <c r="B23" s="83">
        <v>0.90234957138349647</v>
      </c>
      <c r="C23" s="83">
        <v>0.9986163822044839</v>
      </c>
      <c r="D23" s="83">
        <v>0.95059357703735803</v>
      </c>
      <c r="E23" s="83">
        <v>0.91208751170793667</v>
      </c>
      <c r="F23" s="83">
        <v>0.9981961528595289</v>
      </c>
      <c r="G23" s="83">
        <v>0.96315437582496166</v>
      </c>
      <c r="H23" s="83">
        <v>0.96123338420544935</v>
      </c>
      <c r="I23" s="83">
        <v>0.919873231325116</v>
      </c>
      <c r="J23" s="83">
        <v>0.96245718999365648</v>
      </c>
      <c r="K23" s="83">
        <v>0.96215545914609091</v>
      </c>
      <c r="L23" s="83">
        <v>0.96328417436258074</v>
      </c>
      <c r="M23" s="83">
        <v>0.99305698364600858</v>
      </c>
      <c r="N23" s="83">
        <v>0.4399186642916299</v>
      </c>
      <c r="O23" s="83">
        <v>0.63703091511987819</v>
      </c>
      <c r="P23" s="83">
        <v>0.97085996373910322</v>
      </c>
      <c r="Q23" s="83">
        <v>0.97938346572424173</v>
      </c>
      <c r="R23" s="83">
        <v>0.82863162188689321</v>
      </c>
      <c r="S23" s="83">
        <v>0.81753558312281593</v>
      </c>
      <c r="T23" s="85">
        <v>0.7887096848959535</v>
      </c>
    </row>
    <row r="24" spans="1:21" ht="17" thickBot="1" x14ac:dyDescent="0.25">
      <c r="B24" s="83">
        <v>0.90436192690352246</v>
      </c>
      <c r="C24" s="83">
        <v>0.962156783336091</v>
      </c>
      <c r="D24" s="83">
        <v>0.99041246758455526</v>
      </c>
      <c r="E24" s="83">
        <v>0.92489002546585097</v>
      </c>
      <c r="F24" s="83">
        <v>0.95529568175770641</v>
      </c>
      <c r="G24" s="83">
        <v>0.95235664052873492</v>
      </c>
      <c r="H24" s="83">
        <v>0.9653898898677824</v>
      </c>
      <c r="I24" s="83">
        <v>0.91779063245765524</v>
      </c>
      <c r="J24" s="83">
        <v>0.99141002268818945</v>
      </c>
      <c r="K24" s="83">
        <v>0.93122382303926021</v>
      </c>
      <c r="L24" s="83">
        <v>0.97875669750994332</v>
      </c>
      <c r="M24" s="83">
        <v>0.34898497910517728</v>
      </c>
      <c r="N24" s="83">
        <v>0.94880618438919051</v>
      </c>
      <c r="O24" s="83">
        <v>0.77897897987028308</v>
      </c>
      <c r="P24" s="83">
        <v>0.99298429096229501</v>
      </c>
      <c r="Q24" s="83">
        <v>0.70641686256626068</v>
      </c>
      <c r="R24" s="83">
        <v>0.98219642178156563</v>
      </c>
      <c r="S24" s="85">
        <v>0.73293807644345899</v>
      </c>
    </row>
    <row r="25" spans="1:21" ht="17" thickBot="1" x14ac:dyDescent="0.25">
      <c r="B25" s="83">
        <v>0.86490389015251479</v>
      </c>
      <c r="C25" s="83">
        <v>0.98529033720498005</v>
      </c>
      <c r="D25" s="83">
        <v>0.99199721369088179</v>
      </c>
      <c r="E25" s="83">
        <v>0.98340088983794238</v>
      </c>
      <c r="F25" s="83">
        <v>0.93933716079085627</v>
      </c>
      <c r="G25" s="83">
        <v>0.98573952094503026</v>
      </c>
      <c r="H25" s="83">
        <v>0.97052715139055545</v>
      </c>
      <c r="I25" s="83">
        <v>0.94076947801985011</v>
      </c>
      <c r="J25" s="83">
        <v>0.98911717840721958</v>
      </c>
      <c r="K25" s="83">
        <v>0.96499831115328794</v>
      </c>
      <c r="L25" s="83">
        <v>0.50819411391686442</v>
      </c>
      <c r="M25" s="83">
        <v>0.90783776374950942</v>
      </c>
      <c r="N25" s="83">
        <v>0.88066903409519581</v>
      </c>
      <c r="O25" s="83">
        <v>0.65490796808589613</v>
      </c>
      <c r="P25" s="83">
        <v>0.82535265737252872</v>
      </c>
      <c r="Q25" s="83">
        <v>0.96054031490689862</v>
      </c>
      <c r="R25" s="85">
        <v>0.87550385842857936</v>
      </c>
    </row>
    <row r="26" spans="1:21" ht="17" thickBot="1" x14ac:dyDescent="0.25">
      <c r="B26" s="83">
        <v>0.89048669995854746</v>
      </c>
      <c r="C26" s="83">
        <v>0.98949598800751037</v>
      </c>
      <c r="D26" s="83">
        <v>0.98278423432229456</v>
      </c>
      <c r="E26" s="83">
        <v>0.94880058998118211</v>
      </c>
      <c r="F26" s="83">
        <v>0.98575461348689508</v>
      </c>
      <c r="G26" s="83">
        <v>0.94709413547624821</v>
      </c>
      <c r="H26" s="83">
        <v>0.98045140601505276</v>
      </c>
      <c r="I26" s="83">
        <v>0.88862190897587545</v>
      </c>
      <c r="J26" s="83">
        <v>0.99658728097477067</v>
      </c>
      <c r="K26" s="83">
        <v>0.55083007221011793</v>
      </c>
      <c r="L26" s="83">
        <v>0.95815849225145178</v>
      </c>
      <c r="M26" s="83">
        <v>0.82111148673586809</v>
      </c>
      <c r="N26" s="83">
        <v>0.95160727840392711</v>
      </c>
      <c r="O26" s="83">
        <v>0.21999883115254193</v>
      </c>
      <c r="P26" s="83">
        <v>0.98344095918863617</v>
      </c>
      <c r="Q26" s="85">
        <v>0.87123078965623157</v>
      </c>
    </row>
    <row r="27" spans="1:21" ht="17" thickBot="1" x14ac:dyDescent="0.25">
      <c r="B27" s="83">
        <v>0.88963742206854635</v>
      </c>
      <c r="C27" s="83">
        <v>0.98910852173397568</v>
      </c>
      <c r="D27" s="83">
        <v>0.9507023995857542</v>
      </c>
      <c r="E27" s="83">
        <v>0.93049655713383128</v>
      </c>
      <c r="F27" s="83">
        <v>0.94905760063283107</v>
      </c>
      <c r="G27" s="83">
        <v>0.97496126424745322</v>
      </c>
      <c r="H27" s="83">
        <v>0.92738590519898534</v>
      </c>
      <c r="I27" s="83">
        <v>0.90408577173112981</v>
      </c>
      <c r="J27" s="83">
        <v>0.45472351805141126</v>
      </c>
      <c r="K27" s="83">
        <v>0.98725364209778288</v>
      </c>
      <c r="L27" s="83">
        <v>0.90597806054524221</v>
      </c>
      <c r="M27" s="83">
        <v>0.9102636214599592</v>
      </c>
      <c r="N27" s="83">
        <v>0.93087685006077558</v>
      </c>
      <c r="O27" s="83">
        <v>0.61941941312699367</v>
      </c>
      <c r="P27" s="85">
        <v>0.86242318443946064</v>
      </c>
    </row>
    <row r="28" spans="1:21" ht="17" thickBot="1" x14ac:dyDescent="0.25">
      <c r="B28" s="83">
        <v>0.89455443029772441</v>
      </c>
      <c r="C28" s="83">
        <v>0.95823578861991132</v>
      </c>
      <c r="D28" s="83">
        <v>0.98956730125854808</v>
      </c>
      <c r="E28" s="83">
        <v>0.92940898562581686</v>
      </c>
      <c r="F28" s="83">
        <v>0.96952644049336401</v>
      </c>
      <c r="G28" s="83">
        <v>0.98331506658111245</v>
      </c>
      <c r="H28" s="83">
        <v>0.95437948801284189</v>
      </c>
      <c r="I28" s="83">
        <v>0.39179078373030085</v>
      </c>
      <c r="J28" s="83">
        <v>0.95021205460681435</v>
      </c>
      <c r="K28" s="83">
        <v>0.9445066785041909</v>
      </c>
      <c r="L28" s="83">
        <v>0.95361908419186436</v>
      </c>
      <c r="M28" s="83">
        <v>0.94955402636052821</v>
      </c>
      <c r="N28" s="83">
        <v>0.91825670850421015</v>
      </c>
      <c r="O28" s="85">
        <v>0.69390804034149456</v>
      </c>
    </row>
    <row r="29" spans="1:21" ht="17" thickBot="1" x14ac:dyDescent="0.25">
      <c r="B29" s="83">
        <v>0.85616576210443862</v>
      </c>
      <c r="C29" s="83">
        <v>0.98742194268265726</v>
      </c>
      <c r="D29" s="83">
        <v>0.97158827487424382</v>
      </c>
      <c r="E29" s="83">
        <v>0.96321041020276665</v>
      </c>
      <c r="F29" s="83">
        <v>0.98796101265921776</v>
      </c>
      <c r="G29" s="83">
        <v>0.98368316139926038</v>
      </c>
      <c r="H29" s="83">
        <v>0.55538848731516166</v>
      </c>
      <c r="I29" s="83">
        <v>0.90166509842505693</v>
      </c>
      <c r="J29" s="83">
        <v>0.88488052823961538</v>
      </c>
      <c r="K29" s="83">
        <v>0.98396874597067441</v>
      </c>
      <c r="L29" s="83">
        <v>0.87371261361368668</v>
      </c>
      <c r="M29" s="83">
        <v>0.87167476928423027</v>
      </c>
      <c r="N29" s="85">
        <v>0.87769813990738665</v>
      </c>
    </row>
    <row r="30" spans="1:21" ht="17" thickBot="1" x14ac:dyDescent="0.25">
      <c r="B30" s="83">
        <v>0.89821392196215033</v>
      </c>
      <c r="C30" s="83">
        <v>0.96985410084004653</v>
      </c>
      <c r="D30" s="83">
        <v>0.98473502838612426</v>
      </c>
      <c r="E30" s="83">
        <v>0.87863904944376492</v>
      </c>
      <c r="F30" s="83">
        <v>0.98685938741243806</v>
      </c>
      <c r="G30" s="83">
        <v>0.35692431144300446</v>
      </c>
      <c r="H30" s="83">
        <v>0.97428572497125132</v>
      </c>
      <c r="I30" s="83">
        <v>0.82591266753549575</v>
      </c>
      <c r="J30" s="83">
        <v>0.94990176856205466</v>
      </c>
      <c r="K30" s="83">
        <v>0.85743627571069037</v>
      </c>
      <c r="L30" s="83">
        <v>0.92131048754536948</v>
      </c>
      <c r="M30" s="85">
        <v>0.85654832176276785</v>
      </c>
    </row>
    <row r="31" spans="1:21" ht="17" thickBot="1" x14ac:dyDescent="0.25">
      <c r="B31" s="83">
        <v>0.8925119304955228</v>
      </c>
      <c r="C31" s="83">
        <v>0.98859439536097515</v>
      </c>
      <c r="D31" s="83">
        <v>0.97485783349264621</v>
      </c>
      <c r="E31" s="83">
        <v>0.9069919999875814</v>
      </c>
      <c r="F31" s="83">
        <v>0.3415399817011075</v>
      </c>
      <c r="G31" s="83">
        <v>0.92796168454450623</v>
      </c>
      <c r="H31" s="83">
        <v>0.92496999144010683</v>
      </c>
      <c r="I31" s="83">
        <v>0.88348244209161175</v>
      </c>
      <c r="J31" s="83">
        <v>0.91560457210667101</v>
      </c>
      <c r="K31" s="83">
        <v>0.97734008127250516</v>
      </c>
      <c r="L31" s="85">
        <v>0.882902399985802</v>
      </c>
    </row>
    <row r="32" spans="1:21" ht="17" thickBot="1" x14ac:dyDescent="0.25">
      <c r="B32" s="83">
        <v>0.89539419412786947</v>
      </c>
      <c r="C32" s="83">
        <v>0.96679693900970831</v>
      </c>
      <c r="D32" s="83">
        <v>0.98673741791462477</v>
      </c>
      <c r="E32" s="83">
        <v>0.56850864602031437</v>
      </c>
      <c r="F32" s="83">
        <v>0.92710614489798404</v>
      </c>
      <c r="G32" s="83">
        <v>0.83616248822055694</v>
      </c>
      <c r="H32" s="83">
        <v>0.96529334709280479</v>
      </c>
      <c r="I32" s="83">
        <v>0.86066783882555153</v>
      </c>
      <c r="J32" s="83">
        <v>0.91411767933874877</v>
      </c>
      <c r="K32" s="85">
        <v>0.83258710514931744</v>
      </c>
    </row>
    <row r="33" spans="1:10" ht="17" thickBot="1" x14ac:dyDescent="0.25">
      <c r="B33" s="83">
        <v>0.87986787477081574</v>
      </c>
      <c r="C33" s="83">
        <v>0.98130962417673107</v>
      </c>
      <c r="D33" s="83">
        <v>0.45255053477893065</v>
      </c>
      <c r="E33" s="83">
        <v>0.94082093381973608</v>
      </c>
      <c r="F33" s="83">
        <v>0.83150567016852772</v>
      </c>
      <c r="G33" s="83">
        <v>0.91971435193562168</v>
      </c>
      <c r="H33" s="83">
        <v>0.87018625930540539</v>
      </c>
      <c r="I33" s="83">
        <v>0.90435594531566721</v>
      </c>
      <c r="J33" s="85">
        <v>0.8852635217220749</v>
      </c>
    </row>
    <row r="34" spans="1:10" ht="17" thickBot="1" x14ac:dyDescent="0.25">
      <c r="B34" s="83">
        <v>0.89646902074963952</v>
      </c>
      <c r="C34" s="83">
        <v>0.47575114969085558</v>
      </c>
      <c r="D34" s="83">
        <v>0.96220113035467725</v>
      </c>
      <c r="E34" s="83">
        <v>0.89517537173945838</v>
      </c>
      <c r="F34" s="83">
        <v>0.9193221932056278</v>
      </c>
      <c r="G34" s="83">
        <v>0.94781297385133334</v>
      </c>
      <c r="H34" s="83">
        <v>0.96040824930876922</v>
      </c>
      <c r="I34" s="85">
        <v>0.71045057223986219</v>
      </c>
    </row>
    <row r="35" spans="1:10" ht="17" thickBot="1" x14ac:dyDescent="0.25">
      <c r="B35" s="83">
        <v>0.46824184113804884</v>
      </c>
      <c r="C35" s="83">
        <v>0.96514944855771745</v>
      </c>
      <c r="D35" s="83">
        <v>0.88535292648405195</v>
      </c>
      <c r="E35" s="83">
        <v>0.92515609604072124</v>
      </c>
      <c r="F35" s="83">
        <v>0.95182164408019976</v>
      </c>
      <c r="G35" s="83">
        <v>0.90708244809085825</v>
      </c>
      <c r="H35" s="85">
        <v>0.84078539203053548</v>
      </c>
    </row>
    <row r="36" spans="1:10" ht="17" thickBot="1" x14ac:dyDescent="0.25">
      <c r="B36" s="83">
        <v>0.88468375483111739</v>
      </c>
      <c r="C36" s="83">
        <v>0.89404705377642346</v>
      </c>
      <c r="D36" s="83">
        <v>0.95297495092790396</v>
      </c>
      <c r="E36" s="83">
        <v>0.81013027373182711</v>
      </c>
      <c r="F36" s="83">
        <v>0.90554097306009351</v>
      </c>
      <c r="G36" s="85">
        <v>0.81224097156642006</v>
      </c>
    </row>
    <row r="37" spans="1:10" ht="17" thickBot="1" x14ac:dyDescent="0.25">
      <c r="B37" s="83">
        <v>0.8297972780045868</v>
      </c>
      <c r="C37" s="83">
        <v>0.95492351749550197</v>
      </c>
      <c r="D37" s="83">
        <v>0.9297135185544233</v>
      </c>
      <c r="E37" s="83">
        <v>0.91499695615959009</v>
      </c>
      <c r="F37" s="85">
        <v>0.8088826737914202</v>
      </c>
    </row>
    <row r="38" spans="1:10" ht="17" thickBot="1" x14ac:dyDescent="0.25">
      <c r="B38" s="83">
        <v>0.8830791514666394</v>
      </c>
      <c r="C38" s="83">
        <v>0.91687509772214049</v>
      </c>
      <c r="D38" s="83">
        <v>0.9378359548874633</v>
      </c>
      <c r="E38" s="85">
        <v>0.8167031555715335</v>
      </c>
    </row>
    <row r="39" spans="1:10" ht="17" thickBot="1" x14ac:dyDescent="0.25">
      <c r="B39" s="83">
        <v>0.83171369639121029</v>
      </c>
      <c r="C39" s="83">
        <v>0.94116317124694415</v>
      </c>
      <c r="D39" s="85">
        <v>0.84607518001262993</v>
      </c>
    </row>
    <row r="40" spans="1:10" ht="17" thickBot="1" x14ac:dyDescent="0.25">
      <c r="B40" s="83">
        <v>0.86449957003527134</v>
      </c>
      <c r="C40" s="85">
        <v>0.84999337744356318</v>
      </c>
    </row>
    <row r="41" spans="1:10" ht="17" thickBot="1" x14ac:dyDescent="0.25">
      <c r="B41" s="85">
        <v>0.78193407818540517</v>
      </c>
    </row>
    <row r="43" spans="1:10" x14ac:dyDescent="0.2">
      <c r="A43" s="178" t="s">
        <v>127</v>
      </c>
    </row>
    <row r="44" spans="1:10" x14ac:dyDescent="0.2">
      <c r="A44" s="179" t="s">
        <v>128</v>
      </c>
      <c r="B44" s="177">
        <f>AVERAGE(B23:T41)</f>
        <v>0.87921872174037596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CFD5-24FC-4B4D-9712-65ABE596DCC2}">
  <sheetPr>
    <outlinePr summaryBelow="0" summaryRight="0"/>
  </sheetPr>
  <dimension ref="A1:AA69"/>
  <sheetViews>
    <sheetView zoomScale="56" zoomScaleNormal="56" workbookViewId="0">
      <selection activeCell="G47" sqref="G47:J56"/>
    </sheetView>
  </sheetViews>
  <sheetFormatPr baseColWidth="10" defaultColWidth="14.5" defaultRowHeight="15.75" customHeight="1" x14ac:dyDescent="0.15"/>
  <cols>
    <col min="1" max="1" width="14.5" style="11"/>
    <col min="2" max="2" width="20.83203125" style="11" customWidth="1"/>
    <col min="3" max="16384" width="14.5" style="11"/>
  </cols>
  <sheetData>
    <row r="1" spans="1:27" ht="15.75" customHeight="1" x14ac:dyDescent="0.2">
      <c r="A1" s="180" t="s">
        <v>99</v>
      </c>
      <c r="B1" s="1" t="s">
        <v>77</v>
      </c>
      <c r="C1" s="1" t="s">
        <v>76</v>
      </c>
      <c r="D1" s="1" t="s">
        <v>75</v>
      </c>
      <c r="E1" s="1" t="s">
        <v>74</v>
      </c>
      <c r="F1" s="1" t="s">
        <v>73</v>
      </c>
      <c r="G1" s="1" t="s">
        <v>72</v>
      </c>
      <c r="H1" s="1" t="s">
        <v>71</v>
      </c>
      <c r="I1" s="1" t="s">
        <v>70</v>
      </c>
      <c r="J1" s="2" t="s">
        <v>68</v>
      </c>
      <c r="K1" s="2" t="s">
        <v>67</v>
      </c>
      <c r="L1" s="2" t="s">
        <v>66</v>
      </c>
      <c r="M1" s="2" t="s">
        <v>65</v>
      </c>
      <c r="N1" s="2" t="s">
        <v>64</v>
      </c>
      <c r="O1" s="3" t="s">
        <v>62</v>
      </c>
      <c r="P1" s="3" t="s">
        <v>61</v>
      </c>
      <c r="Q1" s="3" t="s">
        <v>60</v>
      </c>
      <c r="R1" s="3" t="s">
        <v>59</v>
      </c>
      <c r="S1" s="4" t="s">
        <v>80</v>
      </c>
      <c r="T1" s="4" t="s">
        <v>79</v>
      </c>
      <c r="U1" s="4" t="s">
        <v>47</v>
      </c>
      <c r="V1" s="20"/>
      <c r="W1" s="33" t="s">
        <v>46</v>
      </c>
      <c r="X1" s="20"/>
      <c r="Y1" s="20"/>
      <c r="Z1" s="20"/>
      <c r="AA1" s="20"/>
    </row>
    <row r="2" spans="1:27" ht="15.75" customHeight="1" x14ac:dyDescent="0.2">
      <c r="A2" s="180" t="s">
        <v>98</v>
      </c>
      <c r="B2" s="5">
        <v>2.013564167484019E-2</v>
      </c>
      <c r="C2" s="5">
        <v>2.3392871692271392E-2</v>
      </c>
      <c r="D2" s="5">
        <v>2.1898284278740424E-2</v>
      </c>
      <c r="E2" s="5">
        <v>2.6663219709673881E-2</v>
      </c>
      <c r="F2" s="5">
        <v>-5.9279467113460861E-3</v>
      </c>
      <c r="G2" s="5">
        <v>3.5551052506718001E-2</v>
      </c>
      <c r="H2" s="5">
        <v>2.3273062168987967E-2</v>
      </c>
      <c r="I2" s="5">
        <v>6.527319652524223E-2</v>
      </c>
      <c r="J2" s="6">
        <v>5.2099207728434852E-3</v>
      </c>
      <c r="K2" s="6">
        <v>4.8335783581300716E-2</v>
      </c>
      <c r="L2" s="6">
        <v>7.4349554466937445E-3</v>
      </c>
      <c r="M2" s="6">
        <v>-3.3727917144269234E-3</v>
      </c>
      <c r="N2" s="6">
        <v>8.8539492433403772E-3</v>
      </c>
      <c r="O2" s="7">
        <v>5.2842108199068058E-3</v>
      </c>
      <c r="P2" s="7">
        <v>-7.0507258737831837E-3</v>
      </c>
      <c r="Q2" s="7">
        <v>-1.2940664358544986E-2</v>
      </c>
      <c r="R2" s="7">
        <v>-1.7561314937973665E-2</v>
      </c>
      <c r="S2" s="8">
        <v>1.0113430765119761E-2</v>
      </c>
      <c r="T2" s="8">
        <v>-1.7080732033257742E-2</v>
      </c>
      <c r="U2" s="8">
        <v>3.203546691905889E-2</v>
      </c>
      <c r="V2" s="21"/>
      <c r="W2" s="32">
        <v>1.7859381799140144E-2</v>
      </c>
      <c r="X2" s="21"/>
      <c r="Y2" s="21"/>
      <c r="Z2" s="22"/>
      <c r="AA2" s="20"/>
    </row>
    <row r="3" spans="1:27" ht="15.75" customHeight="1" x14ac:dyDescent="0.2">
      <c r="B3" s="5">
        <v>-9.1761054711402529E-2</v>
      </c>
      <c r="C3" s="5">
        <v>-9.8025633086891856E-2</v>
      </c>
      <c r="D3" s="5">
        <v>-0.111121121519608</v>
      </c>
      <c r="E3" s="5">
        <v>-9.0855570486977691E-2</v>
      </c>
      <c r="F3" s="5">
        <v>-0.11052319159627597</v>
      </c>
      <c r="G3" s="5">
        <v>-8.664754630560538E-2</v>
      </c>
      <c r="H3" s="5">
        <v>-8.8754558392168559E-2</v>
      </c>
      <c r="I3" s="5">
        <v>-9.1387838867146479E-2</v>
      </c>
      <c r="J3" s="6">
        <v>-5.4022923286427611E-2</v>
      </c>
      <c r="K3" s="6">
        <v>-3.3449906350072708E-2</v>
      </c>
      <c r="L3" s="6">
        <v>-5.0489939124240782E-2</v>
      </c>
      <c r="M3" s="6">
        <v>-6.2857087717331298E-2</v>
      </c>
      <c r="N3" s="6">
        <v>-4.1566704060379288E-2</v>
      </c>
      <c r="O3" s="7">
        <v>1.5302993520493425E-2</v>
      </c>
      <c r="P3" s="7">
        <v>-2.1294341324950856E-2</v>
      </c>
      <c r="Q3" s="7">
        <v>1.3770780711394507E-2</v>
      </c>
      <c r="R3" s="7">
        <v>9.2931442891963853E-3</v>
      </c>
      <c r="S3" s="8">
        <v>-9.5157767906625015E-2</v>
      </c>
      <c r="T3" s="8">
        <v>-8.2211878412080927E-2</v>
      </c>
      <c r="U3" s="8">
        <v>-4.4112867484118745E-2</v>
      </c>
      <c r="V3" s="21"/>
      <c r="W3" s="32">
        <v>-9.1776955767217297E-2</v>
      </c>
      <c r="X3" s="20"/>
      <c r="Y3" s="20"/>
      <c r="Z3" s="20"/>
      <c r="AA3" s="20"/>
    </row>
    <row r="4" spans="1:27" ht="15.75" customHeight="1" x14ac:dyDescent="0.2">
      <c r="B4" s="5">
        <v>8.5402381100873351E-2</v>
      </c>
      <c r="C4" s="5">
        <v>0.10471827075701169</v>
      </c>
      <c r="D4" s="5">
        <v>0.11712964599857797</v>
      </c>
      <c r="E4" s="5">
        <v>9.4755476096627003E-2</v>
      </c>
      <c r="F4" s="5">
        <v>9.8387497782781441E-2</v>
      </c>
      <c r="G4" s="5">
        <v>6.1033573948521679E-2</v>
      </c>
      <c r="H4" s="5">
        <v>0.10085121658195075</v>
      </c>
      <c r="I4" s="5">
        <v>5.9340364897329592E-2</v>
      </c>
      <c r="J4" s="6">
        <v>7.1957530335474681E-2</v>
      </c>
      <c r="K4" s="6">
        <v>9.658782690288524E-2</v>
      </c>
      <c r="L4" s="6">
        <v>6.1676722474561976E-2</v>
      </c>
      <c r="M4" s="6">
        <v>8.0475471575996244E-2</v>
      </c>
      <c r="N4" s="6">
        <v>7.0375171097518854E-2</v>
      </c>
      <c r="O4" s="7">
        <v>1.5530912169783188E-2</v>
      </c>
      <c r="P4" s="7">
        <v>4.9409076645030983E-2</v>
      </c>
      <c r="Q4" s="7">
        <v>2.918282012659373E-2</v>
      </c>
      <c r="R4" s="7">
        <v>2.3395434307152789E-2</v>
      </c>
      <c r="S4" s="8">
        <v>7.1385125370777236E-2</v>
      </c>
      <c r="T4" s="8">
        <v>0.14658666529834194</v>
      </c>
      <c r="U4" s="8">
        <v>0.14164603324469791</v>
      </c>
      <c r="V4" s="20"/>
      <c r="W4" s="32">
        <v>7.8684404731036967E-2</v>
      </c>
      <c r="X4" s="21"/>
      <c r="Y4" s="20"/>
      <c r="Z4" s="20"/>
      <c r="AA4" s="20"/>
    </row>
    <row r="5" spans="1:27" ht="15.75" customHeight="1" x14ac:dyDescent="0.2">
      <c r="B5" s="5">
        <v>3.5587944660296397E-2</v>
      </c>
      <c r="C5" s="5">
        <v>4.2581103367740271E-2</v>
      </c>
      <c r="D5" s="5">
        <v>4.8559230839563469E-2</v>
      </c>
      <c r="E5" s="5">
        <v>4.4093867518441299E-2</v>
      </c>
      <c r="F5" s="5">
        <v>1.8943670213298042E-2</v>
      </c>
      <c r="G5" s="5">
        <v>3.7703857341636053E-2</v>
      </c>
      <c r="H5" s="5">
        <v>1.5026780805780347E-2</v>
      </c>
      <c r="I5" s="5">
        <v>1.639897794929282E-2</v>
      </c>
      <c r="J5" s="6">
        <v>2.4021044599120564E-2</v>
      </c>
      <c r="K5" s="6">
        <v>-3.8296917194582856E-3</v>
      </c>
      <c r="L5" s="6">
        <v>3.3410483387431564E-2</v>
      </c>
      <c r="M5" s="6">
        <v>5.9243426725115716E-3</v>
      </c>
      <c r="N5" s="6">
        <v>1.5606851488399187E-2</v>
      </c>
      <c r="O5" s="7">
        <v>1.035134592723777E-3</v>
      </c>
      <c r="P5" s="7">
        <v>1.5010679796632722E-2</v>
      </c>
      <c r="Q5" s="7">
        <v>6.008247994884682E-3</v>
      </c>
      <c r="R5" s="7">
        <v>1.2340873073822227E-2</v>
      </c>
      <c r="S5" s="8">
        <v>5.0279690438092273E-2</v>
      </c>
      <c r="T5" s="8">
        <v>-4.1103701429796094E-2</v>
      </c>
      <c r="U5" s="8">
        <v>4.6414171231020365E-3</v>
      </c>
      <c r="V5" s="21"/>
      <c r="W5" s="32">
        <v>2.9728930143115964E-2</v>
      </c>
      <c r="X5" s="20"/>
      <c r="Y5" s="20"/>
      <c r="Z5" s="20"/>
      <c r="AA5" s="20"/>
    </row>
    <row r="6" spans="1:27" ht="15.75" customHeight="1" x14ac:dyDescent="0.2">
      <c r="B6" s="5">
        <v>1.4167672941832592E-2</v>
      </c>
      <c r="C6" s="5">
        <v>1.3529286926994814E-2</v>
      </c>
      <c r="D6" s="5">
        <v>-8.5803285638009312E-3</v>
      </c>
      <c r="E6" s="5">
        <v>1.6683683083300791E-2</v>
      </c>
      <c r="F6" s="5">
        <v>-9.5208703052639728E-3</v>
      </c>
      <c r="G6" s="5">
        <v>5.2353703452140002E-3</v>
      </c>
      <c r="H6" s="5">
        <v>2.7674922719434118E-2</v>
      </c>
      <c r="I6" s="5">
        <v>3.8264212119637903E-3</v>
      </c>
      <c r="J6" s="6">
        <v>6.1055865536391975E-3</v>
      </c>
      <c r="K6" s="6">
        <v>2.3148305876547183E-2</v>
      </c>
      <c r="L6" s="6">
        <v>2.2037337734516962E-2</v>
      </c>
      <c r="M6" s="6">
        <v>-7.5698963537734146E-4</v>
      </c>
      <c r="N6" s="6">
        <v>2.1617996681226564E-3</v>
      </c>
      <c r="O6" s="7">
        <v>1.9336132465499756E-2</v>
      </c>
      <c r="P6" s="7">
        <v>9.9693848557190351E-3</v>
      </c>
      <c r="Q6" s="7">
        <v>7.8449641737626079E-3</v>
      </c>
      <c r="R6" s="7">
        <v>-3.9967891079185263E-3</v>
      </c>
      <c r="S6" s="8">
        <v>1.2047566110169279E-2</v>
      </c>
      <c r="T6" s="8">
        <v>1.6050624569280646E-3</v>
      </c>
      <c r="U6" s="8">
        <v>4.1976312833832484E-2</v>
      </c>
      <c r="V6" s="21"/>
      <c r="W6" s="32">
        <v>1.7924287751078408E-2</v>
      </c>
      <c r="X6" s="20"/>
      <c r="Y6" s="20"/>
      <c r="Z6" s="20"/>
      <c r="AA6" s="20"/>
    </row>
    <row r="7" spans="1:27" ht="15.75" customHeight="1" x14ac:dyDescent="0.2">
      <c r="B7" s="5">
        <v>3.9250790414816508E-2</v>
      </c>
      <c r="C7" s="5">
        <v>3.7137855019863067E-2</v>
      </c>
      <c r="D7" s="5">
        <v>3.5863902683246851E-2</v>
      </c>
      <c r="E7" s="5">
        <v>0.14328428269882471</v>
      </c>
      <c r="F7" s="5">
        <v>3.4184582552419338E-2</v>
      </c>
      <c r="G7" s="5">
        <v>2.8367843981603046E-2</v>
      </c>
      <c r="H7" s="5">
        <v>5.1041046780850093E-2</v>
      </c>
      <c r="I7" s="5">
        <v>-2.6959033749335878E-2</v>
      </c>
      <c r="J7" s="6">
        <v>2.8744582514147958E-2</v>
      </c>
      <c r="K7" s="6">
        <v>2.1411963606725121E-2</v>
      </c>
      <c r="L7" s="6">
        <v>3.4990613913253879E-2</v>
      </c>
      <c r="M7" s="6">
        <v>1.7177449901737953E-2</v>
      </c>
      <c r="N7" s="6">
        <v>2.8425960344369925E-2</v>
      </c>
      <c r="O7" s="7">
        <v>2.4170414193380833E-3</v>
      </c>
      <c r="P7" s="7">
        <v>1.4951046181946643E-2</v>
      </c>
      <c r="Q7" s="7">
        <v>-2.2520301795710289E-4</v>
      </c>
      <c r="R7" s="7">
        <v>1.2038482599886966E-2</v>
      </c>
      <c r="S7" s="8">
        <v>-2.8668156457547191E-2</v>
      </c>
      <c r="T7" s="8">
        <v>3.9923455211362105E-2</v>
      </c>
      <c r="U7" s="8">
        <v>-5.3730284452076608E-3</v>
      </c>
      <c r="V7" s="23"/>
      <c r="W7" s="32">
        <v>3.9313434942139368E-2</v>
      </c>
      <c r="X7" s="23"/>
      <c r="Y7" s="23"/>
      <c r="Z7" s="23"/>
      <c r="AA7" s="23"/>
    </row>
    <row r="8" spans="1:27" ht="15.75" customHeight="1" x14ac:dyDescent="0.2">
      <c r="B8" s="5">
        <v>-6.4498856732394999E-2</v>
      </c>
      <c r="C8" s="5">
        <v>-6.0580455730529635E-2</v>
      </c>
      <c r="D8" s="5">
        <v>-7.1771422450588415E-2</v>
      </c>
      <c r="E8" s="5">
        <v>-6.0694927021616892E-2</v>
      </c>
      <c r="F8" s="5">
        <v>-9.6016367541524386E-2</v>
      </c>
      <c r="G8" s="5">
        <v>-6.3117328211804727E-2</v>
      </c>
      <c r="H8" s="5">
        <v>-7.896937122383875E-2</v>
      </c>
      <c r="I8" s="5">
        <v>-2.6753652315065359E-2</v>
      </c>
      <c r="J8" s="6">
        <v>-5.2157621775577728E-2</v>
      </c>
      <c r="K8" s="6">
        <v>-6.3810271080476461E-2</v>
      </c>
      <c r="L8" s="6">
        <v>-4.2040942913598126E-2</v>
      </c>
      <c r="M8" s="6">
        <v>-7.3675847575170428E-2</v>
      </c>
      <c r="N8" s="6">
        <v>-5.3363197664096633E-2</v>
      </c>
      <c r="O8" s="7">
        <v>1.509714457963395E-2</v>
      </c>
      <c r="P8" s="7">
        <v>-1.0827392435436557E-2</v>
      </c>
      <c r="Q8" s="7">
        <v>-1.0945911881208078E-2</v>
      </c>
      <c r="R8" s="7">
        <v>-1.9230847526081136E-2</v>
      </c>
      <c r="S8" s="8">
        <v>-7.0668175664731103E-2</v>
      </c>
      <c r="T8" s="8">
        <v>-0.15962949971055712</v>
      </c>
      <c r="U8" s="8">
        <v>2.7010606883397258E-2</v>
      </c>
      <c r="V8" s="24"/>
      <c r="W8" s="32">
        <v>-6.5777726481161508E-2</v>
      </c>
      <c r="X8" s="24"/>
      <c r="Y8" s="24"/>
      <c r="Z8" s="24"/>
      <c r="AA8" s="24"/>
    </row>
    <row r="9" spans="1:27" ht="15.75" customHeight="1" x14ac:dyDescent="0.2">
      <c r="B9" s="5">
        <v>7.0780583375414888E-2</v>
      </c>
      <c r="C9" s="5">
        <v>7.1010116822367894E-2</v>
      </c>
      <c r="D9" s="5">
        <v>6.9689174222583736E-2</v>
      </c>
      <c r="E9" s="5">
        <v>7.3475490591439568E-2</v>
      </c>
      <c r="F9" s="5">
        <v>9.569794509845253E-2</v>
      </c>
      <c r="G9" s="5">
        <v>6.6443621138674885E-2</v>
      </c>
      <c r="H9" s="5">
        <v>7.7568828117611371E-2</v>
      </c>
      <c r="I9" s="5">
        <v>7.1989839001029898E-2</v>
      </c>
      <c r="J9" s="6">
        <v>5.9591161251872818E-2</v>
      </c>
      <c r="K9" s="6">
        <v>5.3718491551580809E-2</v>
      </c>
      <c r="L9" s="6">
        <v>6.485794735014512E-2</v>
      </c>
      <c r="M9" s="6">
        <v>5.2624997005342539E-2</v>
      </c>
      <c r="N9" s="6">
        <v>5.3720490995725387E-2</v>
      </c>
      <c r="O9" s="7">
        <v>1.4776505904973687E-2</v>
      </c>
      <c r="P9" s="7">
        <v>2.7245509098725054E-2</v>
      </c>
      <c r="Q9" s="7">
        <v>3.3051182766878365E-2</v>
      </c>
      <c r="R9" s="7">
        <v>3.9417804316777924E-2</v>
      </c>
      <c r="S9" s="8">
        <v>7.0140348077603207E-2</v>
      </c>
      <c r="T9" s="8">
        <v>0.15206270132200655</v>
      </c>
      <c r="U9" s="8">
        <v>-2.0317144222260743E-2</v>
      </c>
      <c r="V9" s="24"/>
      <c r="W9" s="32">
        <v>6.8930183208215035E-2</v>
      </c>
      <c r="X9" s="24"/>
      <c r="Y9" s="24"/>
      <c r="Z9" s="24"/>
      <c r="AA9" s="24"/>
    </row>
    <row r="10" spans="1:27" ht="15.75" customHeight="1" x14ac:dyDescent="0.2">
      <c r="B10" s="5">
        <v>1.4125120060408771E-2</v>
      </c>
      <c r="C10" s="5">
        <v>1.3101356213947079E-2</v>
      </c>
      <c r="D10" s="5">
        <v>1.2000213126626776E-2</v>
      </c>
      <c r="E10" s="5">
        <v>1.2621592340825227E-2</v>
      </c>
      <c r="F10" s="5">
        <v>1.6011971528405174E-2</v>
      </c>
      <c r="G10" s="5">
        <v>7.2099111710274234E-3</v>
      </c>
      <c r="H10" s="5">
        <v>1.1595048098576009E-2</v>
      </c>
      <c r="I10" s="5">
        <v>-1.3050309898924951E-2</v>
      </c>
      <c r="J10" s="6">
        <v>-1.9632322285874269E-2</v>
      </c>
      <c r="K10" s="6">
        <v>-1.8104648699965222E-2</v>
      </c>
      <c r="L10" s="6">
        <v>-1.1390357727471431E-2</v>
      </c>
      <c r="M10" s="6">
        <v>-2.082406830410934E-2</v>
      </c>
      <c r="N10" s="6">
        <v>-2.6881810109430242E-2</v>
      </c>
      <c r="O10" s="7">
        <v>2.3571246723555306E-3</v>
      </c>
      <c r="P10" s="7">
        <v>4.4564918197423937E-3</v>
      </c>
      <c r="Q10" s="7">
        <v>-1.3418341127945224E-2</v>
      </c>
      <c r="R10" s="7">
        <v>-1.9642119010106238E-2</v>
      </c>
      <c r="S10" s="8">
        <v>-2.2288070662231551E-2</v>
      </c>
      <c r="T10" s="8">
        <v>-7.2549338467662552E-2</v>
      </c>
      <c r="U10" s="8">
        <v>3.0732143989962758E-2</v>
      </c>
      <c r="V10" s="24"/>
      <c r="W10" s="32">
        <v>1.312819536603934E-2</v>
      </c>
      <c r="X10" s="24"/>
      <c r="Y10" s="24"/>
      <c r="Z10" s="20"/>
      <c r="AA10" s="20"/>
    </row>
    <row r="11" spans="1:27" ht="15.75" customHeight="1" x14ac:dyDescent="0.2">
      <c r="B11" s="5">
        <v>-2.0826770418676366E-2</v>
      </c>
      <c r="C11" s="5">
        <v>-2.7576176980503634E-2</v>
      </c>
      <c r="D11" s="5">
        <v>-3.9674584943703711E-2</v>
      </c>
      <c r="E11" s="5">
        <v>-1.6778580076827278E-2</v>
      </c>
      <c r="F11" s="5">
        <v>-4.5217683298285266E-2</v>
      </c>
      <c r="G11" s="5">
        <v>-2.1020431344274001E-2</v>
      </c>
      <c r="H11" s="5">
        <v>-1.7358461272383031E-2</v>
      </c>
      <c r="I11" s="5">
        <v>-1.1767143401925887E-2</v>
      </c>
      <c r="J11" s="6">
        <v>-1.8753707209999797E-2</v>
      </c>
      <c r="K11" s="6">
        <v>-3.2567109888594091E-2</v>
      </c>
      <c r="L11" s="6">
        <v>-5.5103325628759964E-3</v>
      </c>
      <c r="M11" s="6">
        <v>-3.5445042217287372E-2</v>
      </c>
      <c r="N11" s="6">
        <v>-3.4488336093239064E-2</v>
      </c>
      <c r="O11" s="7">
        <v>2.324590463706545E-2</v>
      </c>
      <c r="P11" s="7">
        <v>9.5835561104707489E-3</v>
      </c>
      <c r="Q11" s="7">
        <v>8.8005907760509844E-3</v>
      </c>
      <c r="R11" s="7">
        <v>3.9678611395260272E-4</v>
      </c>
      <c r="S11" s="8">
        <v>-7.2789109683028944E-2</v>
      </c>
      <c r="T11" s="8">
        <v>4.5102441956623378E-2</v>
      </c>
      <c r="U11" s="8">
        <v>0.103770909106303</v>
      </c>
      <c r="W11" s="32">
        <v>-1.8091652742267789E-2</v>
      </c>
    </row>
    <row r="12" spans="1:27" ht="15.75" customHeight="1" x14ac:dyDescent="0.2">
      <c r="B12" s="5">
        <v>1.7792803771508825E-2</v>
      </c>
      <c r="C12" s="5">
        <v>2.0970813239814031E-2</v>
      </c>
      <c r="D12" s="5">
        <v>1.3667671114937685E-2</v>
      </c>
      <c r="E12" s="5">
        <v>-1.2189368597197553E-2</v>
      </c>
      <c r="F12" s="5">
        <v>4.8549395891545125E-2</v>
      </c>
      <c r="G12" s="5">
        <v>3.8954588304293922E-2</v>
      </c>
      <c r="H12" s="5">
        <v>1.3397384884376088E-2</v>
      </c>
      <c r="I12" s="5">
        <v>-7.9013047909181656E-3</v>
      </c>
      <c r="J12" s="6">
        <v>3.2069732876880711E-2</v>
      </c>
      <c r="K12" s="6">
        <v>9.109080194273542E-3</v>
      </c>
      <c r="L12" s="6">
        <v>1.3852225901488211E-2</v>
      </c>
      <c r="M12" s="6">
        <v>4.685317651186615E-2</v>
      </c>
      <c r="N12" s="6">
        <v>4.1206643633801228E-2</v>
      </c>
      <c r="O12" s="7">
        <v>-3.866576837758766E-3</v>
      </c>
      <c r="P12" s="7">
        <v>4.2625336091215854E-3</v>
      </c>
      <c r="Q12" s="7">
        <v>-7.9514433206052601E-3</v>
      </c>
      <c r="R12" s="7">
        <v>-9.3199608909405596E-3</v>
      </c>
      <c r="S12" s="8">
        <v>4.3523101536119248E-2</v>
      </c>
      <c r="T12" s="8">
        <v>6.2331577714743465E-2</v>
      </c>
      <c r="U12" s="8">
        <v>-6.1660720881550189E-5</v>
      </c>
      <c r="W12" s="32">
        <v>1.7181167690656883E-2</v>
      </c>
    </row>
    <row r="13" spans="1:27" ht="15.75" customHeight="1" x14ac:dyDescent="0.2">
      <c r="B13" s="5">
        <v>2.1060071251610458E-2</v>
      </c>
      <c r="C13" s="5">
        <v>1.1098214643067017E-2</v>
      </c>
      <c r="D13" s="5">
        <v>1.650484334821695E-2</v>
      </c>
      <c r="E13" s="5">
        <v>2.5419733448725831E-2</v>
      </c>
      <c r="F13" s="5">
        <v>2.8400774248799623E-2</v>
      </c>
      <c r="G13" s="5">
        <v>1.0481276068404115E-2</v>
      </c>
      <c r="H13" s="5">
        <v>7.1065244979634373E-3</v>
      </c>
      <c r="I13" s="5">
        <v>4.7829498532662766E-2</v>
      </c>
      <c r="J13" s="6">
        <v>3.1387585204588689E-2</v>
      </c>
      <c r="K13" s="6">
        <v>3.9493334461624854E-2</v>
      </c>
      <c r="L13" s="6">
        <v>3.2666690748798348E-2</v>
      </c>
      <c r="M13" s="6">
        <v>3.905205144696311E-2</v>
      </c>
      <c r="N13" s="6">
        <v>3.3002220959736102E-2</v>
      </c>
      <c r="O13" s="7">
        <v>4.5210736947901191E-3</v>
      </c>
      <c r="P13" s="7">
        <v>6.1315843934347898E-3</v>
      </c>
      <c r="Q13" s="7">
        <v>2.5883421174265991E-2</v>
      </c>
      <c r="R13" s="7">
        <v>2.3418803770125965E-2</v>
      </c>
      <c r="S13" s="8">
        <v>-2.9235911602437686E-2</v>
      </c>
      <c r="T13" s="8">
        <v>0.10053295731235834</v>
      </c>
      <c r="U13" s="8">
        <v>8.2598301068625465E-2</v>
      </c>
      <c r="W13" s="32">
        <v>2.0431747482144953E-2</v>
      </c>
    </row>
    <row r="14" spans="1:27" ht="15.75" customHeight="1" x14ac:dyDescent="0.2">
      <c r="B14" s="5">
        <v>3.7877539095742256E-2</v>
      </c>
      <c r="C14" s="5">
        <v>3.221971792902744E-2</v>
      </c>
      <c r="D14" s="5">
        <v>4.1999843661628573E-2</v>
      </c>
      <c r="E14" s="5">
        <v>5.1263509694157924E-2</v>
      </c>
      <c r="F14" s="5">
        <v>3.6979920469634379E-2</v>
      </c>
      <c r="G14" s="5">
        <v>2.3421917622440485E-2</v>
      </c>
      <c r="H14" s="5">
        <v>1.863298182348026E-2</v>
      </c>
      <c r="I14" s="5">
        <v>6.1297776904806651E-2</v>
      </c>
      <c r="J14" s="6">
        <v>1.247704408690329E-2</v>
      </c>
      <c r="K14" s="6">
        <v>5.0178265883753072E-3</v>
      </c>
      <c r="L14" s="6">
        <v>1.8041808841666191E-2</v>
      </c>
      <c r="M14" s="6">
        <v>1.3175886138934143E-2</v>
      </c>
      <c r="N14" s="6">
        <v>7.3350212849422362E-3</v>
      </c>
      <c r="O14" s="7">
        <v>-3.60037310129914E-4</v>
      </c>
      <c r="P14" s="7">
        <v>5.9503642607866662E-3</v>
      </c>
      <c r="Q14" s="7">
        <v>-7.7801685938253427E-3</v>
      </c>
      <c r="R14" s="7">
        <v>-9.7779586056379129E-4</v>
      </c>
      <c r="S14" s="8">
        <v>4.1592632069383163E-2</v>
      </c>
      <c r="T14" s="8">
        <v>3.1100432461244453E-2</v>
      </c>
      <c r="U14" s="8">
        <v>5.1849720025138307E-3</v>
      </c>
      <c r="W14" s="32">
        <v>3.4047064090915104E-2</v>
      </c>
    </row>
    <row r="15" spans="1:27" ht="15.75" customHeight="1" x14ac:dyDescent="0.2">
      <c r="B15" s="5">
        <v>2.8041389667045211E-2</v>
      </c>
      <c r="C15" s="5">
        <v>2.4321878303881602E-2</v>
      </c>
      <c r="D15" s="5">
        <v>2.1668346701112038E-2</v>
      </c>
      <c r="E15" s="5">
        <v>2.5204759712427183E-2</v>
      </c>
      <c r="F15" s="5">
        <v>3.2663490073820321E-2</v>
      </c>
      <c r="G15" s="5">
        <v>2.9742132021235251E-2</v>
      </c>
      <c r="H15" s="5">
        <v>2.9586026942611404E-2</v>
      </c>
      <c r="I15" s="5">
        <v>3.2185232534889988E-2</v>
      </c>
      <c r="J15" s="6">
        <v>3.3416008261788831E-2</v>
      </c>
      <c r="K15" s="6">
        <v>7.0688835771970077E-2</v>
      </c>
      <c r="L15" s="6">
        <v>2.7517374774765971E-2</v>
      </c>
      <c r="M15" s="6">
        <v>3.1026434590492764E-2</v>
      </c>
      <c r="N15" s="6">
        <v>4.1150721772297824E-2</v>
      </c>
      <c r="O15" s="7">
        <v>6.1363222957752411E-4</v>
      </c>
      <c r="P15" s="7">
        <v>1.2871469350270335E-2</v>
      </c>
      <c r="Q15" s="7">
        <v>2.1094837064463606E-2</v>
      </c>
      <c r="R15" s="7">
        <v>2.6928468823635129E-2</v>
      </c>
      <c r="S15" s="8">
        <v>4.5998080927390349E-2</v>
      </c>
      <c r="T15" s="8">
        <v>1.6209154602986973E-2</v>
      </c>
      <c r="U15" s="8">
        <v>-7.6517718407182939E-2</v>
      </c>
      <c r="W15" s="32">
        <v>2.8589803182446302E-2</v>
      </c>
    </row>
    <row r="16" spans="1:27" ht="15.75" customHeight="1" x14ac:dyDescent="0.2">
      <c r="B16" s="5">
        <v>-6.1105731127258413E-4</v>
      </c>
      <c r="C16" s="5">
        <v>-2.4691841555212818E-3</v>
      </c>
      <c r="D16" s="5">
        <v>-2.0164144117572638E-2</v>
      </c>
      <c r="E16" s="5">
        <v>4.416539272615206E-2</v>
      </c>
      <c r="F16" s="5">
        <v>-3.7779959166641106E-2</v>
      </c>
      <c r="G16" s="5">
        <v>-2.5077215237170183E-2</v>
      </c>
      <c r="H16" s="5">
        <v>1.2032467909529599E-2</v>
      </c>
      <c r="I16" s="5">
        <v>-2.4981816221904509E-2</v>
      </c>
      <c r="J16" s="6">
        <v>-2.8546065310615504E-2</v>
      </c>
      <c r="K16" s="6">
        <v>-5.5318388833303984E-2</v>
      </c>
      <c r="L16" s="6">
        <v>-1.2952260558035293E-2</v>
      </c>
      <c r="M16" s="6">
        <v>-4.5547821734722903E-2</v>
      </c>
      <c r="N16" s="6">
        <v>-4.217599716041797E-2</v>
      </c>
      <c r="O16" s="7">
        <v>1.9302207280758796E-2</v>
      </c>
      <c r="P16" s="7">
        <v>8.5637549112575577E-4</v>
      </c>
      <c r="Q16" s="7">
        <v>1.1140853999206099E-2</v>
      </c>
      <c r="R16" s="7">
        <v>-1.2926875722180705E-2</v>
      </c>
      <c r="S16" s="8">
        <v>-0.10227758627373518</v>
      </c>
      <c r="T16" s="8">
        <v>-2.8419131937397122E-2</v>
      </c>
      <c r="U16" s="8">
        <v>5.3974323441955289E-2</v>
      </c>
      <c r="W16" s="32">
        <v>-1.6280898111292685E-3</v>
      </c>
    </row>
    <row r="17" spans="2:23" ht="15.75" customHeight="1" x14ac:dyDescent="0.2">
      <c r="B17" s="5">
        <v>-7.998999590913114E-2</v>
      </c>
      <c r="C17" s="5">
        <v>-8.7712784814950276E-2</v>
      </c>
      <c r="D17" s="5">
        <v>-8.5335995012500179E-2</v>
      </c>
      <c r="E17" s="5">
        <v>-5.7880548757961461E-2</v>
      </c>
      <c r="F17" s="5">
        <v>-9.6363321048157216E-2</v>
      </c>
      <c r="G17" s="5">
        <v>-9.6979133281337143E-2</v>
      </c>
      <c r="H17" s="5">
        <v>-7.5771655996478032E-2</v>
      </c>
      <c r="I17" s="5">
        <v>-6.2369568536961947E-2</v>
      </c>
      <c r="J17" s="6">
        <v>-7.376808305064475E-2</v>
      </c>
      <c r="K17" s="6">
        <v>-3.5467461363219002E-2</v>
      </c>
      <c r="L17" s="6">
        <v>-7.1470545500353949E-2</v>
      </c>
      <c r="M17" s="6">
        <v>-8.4264869395340683E-2</v>
      </c>
      <c r="N17" s="6">
        <v>-7.6935676010631324E-2</v>
      </c>
      <c r="O17" s="7">
        <v>1.5019716420655796E-2</v>
      </c>
      <c r="P17" s="7">
        <v>-7.9170100977825307E-3</v>
      </c>
      <c r="Q17" s="7">
        <v>-2.0801264484701244E-2</v>
      </c>
      <c r="R17" s="7">
        <v>-2.6583403072212436E-2</v>
      </c>
      <c r="S17" s="8">
        <v>-0.15271709049996138</v>
      </c>
      <c r="T17" s="8">
        <v>-2.6868126144929495E-2</v>
      </c>
      <c r="U17" s="8">
        <v>-0.16280268218871585</v>
      </c>
      <c r="W17" s="32">
        <v>-8.4110469009648109E-2</v>
      </c>
    </row>
    <row r="18" spans="2:23" ht="15.75" customHeight="1" x14ac:dyDescent="0.2">
      <c r="B18" s="5">
        <v>-0.13885729858878443</v>
      </c>
      <c r="C18" s="5">
        <v>-0.18401800502910445</v>
      </c>
      <c r="D18" s="5">
        <v>-0.21959793701577809</v>
      </c>
      <c r="E18" s="5">
        <v>-0.10562386259020962</v>
      </c>
      <c r="F18" s="5">
        <v>-0.18320358560571914</v>
      </c>
      <c r="G18" s="5">
        <v>-0.13620679154221108</v>
      </c>
      <c r="H18" s="5">
        <v>-0.17802616692292064</v>
      </c>
      <c r="I18" s="5">
        <v>-5.0038146038328228E-2</v>
      </c>
      <c r="J18" s="6">
        <v>-0.14606730468748663</v>
      </c>
      <c r="K18" s="6">
        <v>-0.17046807468161296</v>
      </c>
      <c r="L18" s="6">
        <v>-0.10271290640535859</v>
      </c>
      <c r="M18" s="6">
        <v>-0.17370867184538957</v>
      </c>
      <c r="N18" s="6">
        <v>-0.19137624745037135</v>
      </c>
      <c r="O18" s="7">
        <v>-1.7170301629941424E-2</v>
      </c>
      <c r="P18" s="7">
        <v>-9.9614203009516608E-2</v>
      </c>
      <c r="Q18" s="7">
        <v>-8.6152833635802645E-2</v>
      </c>
      <c r="R18" s="7">
        <v>-0.13112454340062382</v>
      </c>
      <c r="S18" s="8">
        <v>-0.28315201276541851</v>
      </c>
      <c r="T18" s="8">
        <v>-0.37002808476248733</v>
      </c>
      <c r="U18" s="8">
        <v>-0.43863664040555556</v>
      </c>
      <c r="W18" s="32">
        <v>-0.12511932083595659</v>
      </c>
    </row>
    <row r="19" spans="2:23" ht="15.75" customHeight="1" x14ac:dyDescent="0.2">
      <c r="B19" s="5">
        <v>0.13133168671010062</v>
      </c>
      <c r="C19" s="5">
        <v>0.14234743502831879</v>
      </c>
      <c r="D19" s="5">
        <v>0.14553040047569396</v>
      </c>
      <c r="E19" s="5">
        <v>0.1709379943920708</v>
      </c>
      <c r="F19" s="5">
        <v>0.11079364573394278</v>
      </c>
      <c r="G19" s="5">
        <v>0.10261473990279806</v>
      </c>
      <c r="H19" s="5">
        <v>0.21926459346388438</v>
      </c>
      <c r="I19" s="5">
        <v>0.13444510670197793</v>
      </c>
      <c r="J19" s="6">
        <v>6.23066212408247E-2</v>
      </c>
      <c r="K19" s="6">
        <v>7.8092640829581034E-2</v>
      </c>
      <c r="L19" s="6">
        <v>6.9188707943765804E-2</v>
      </c>
      <c r="M19" s="6">
        <v>5.1704240117697843E-2</v>
      </c>
      <c r="N19" s="6">
        <v>6.0940601525593441E-2</v>
      </c>
      <c r="O19" s="7">
        <v>2.7053665426156538E-2</v>
      </c>
      <c r="P19" s="7">
        <v>3.8619873594235361E-2</v>
      </c>
      <c r="Q19" s="7">
        <v>5.9654146080618912E-2</v>
      </c>
      <c r="R19" s="7">
        <v>7.2798747742052791E-2</v>
      </c>
      <c r="S19" s="8">
        <v>0.286803346578336</v>
      </c>
      <c r="T19" s="8">
        <v>0.35429081690034342</v>
      </c>
      <c r="U19" s="8">
        <v>0.10761613936842764</v>
      </c>
      <c r="W19" s="32">
        <v>0.12684410293315368</v>
      </c>
    </row>
    <row r="20" spans="2:23" ht="15.75" customHeight="1" x14ac:dyDescent="0.2">
      <c r="B20" s="5">
        <v>5.396329066001096E-2</v>
      </c>
      <c r="C20" s="5">
        <v>7.2677718811278838E-2</v>
      </c>
      <c r="D20" s="5">
        <v>7.6527519887004722E-2</v>
      </c>
      <c r="E20" s="5">
        <v>8.9575671467971976E-2</v>
      </c>
      <c r="F20" s="5">
        <v>3.4581202834350781E-2</v>
      </c>
      <c r="G20" s="5">
        <v>2.8329786158465549E-2</v>
      </c>
      <c r="H20" s="5">
        <v>7.2790196300919055E-2</v>
      </c>
      <c r="I20" s="5">
        <v>4.3519496487436644E-2</v>
      </c>
      <c r="J20" s="6">
        <v>5.3552074743744571E-2</v>
      </c>
      <c r="K20" s="6">
        <v>3.2900101951403631E-2</v>
      </c>
      <c r="L20" s="6">
        <v>6.3659095310065555E-2</v>
      </c>
      <c r="M20" s="6">
        <v>4.4840565142123125E-2</v>
      </c>
      <c r="N20" s="6">
        <v>3.7460678626588931E-2</v>
      </c>
      <c r="O20" s="7">
        <v>1.355072524003556E-2</v>
      </c>
      <c r="P20" s="7">
        <v>3.7518854433208453E-2</v>
      </c>
      <c r="Q20" s="7">
        <v>1.2747158915889071E-2</v>
      </c>
      <c r="R20" s="7">
        <v>3.468338849040685E-2</v>
      </c>
      <c r="S20" s="8">
        <v>6.9147452464983815E-3</v>
      </c>
      <c r="T20" s="8">
        <v>3.4125494132547549E-2</v>
      </c>
      <c r="U20" s="8">
        <v>-3.6372509724576056E-2</v>
      </c>
      <c r="W20" s="32">
        <v>4.5281775012618368E-2</v>
      </c>
    </row>
    <row r="21" spans="2:23" ht="15.75" customHeight="1" x14ac:dyDescent="0.2">
      <c r="B21" s="5">
        <v>2.2981953156700943E-2</v>
      </c>
      <c r="C21" s="5">
        <v>2.0245421296431049E-2</v>
      </c>
      <c r="D21" s="5">
        <v>2.5908748494987588E-2</v>
      </c>
      <c r="E21" s="5">
        <v>6.357433599812598E-2</v>
      </c>
      <c r="F21" s="5">
        <v>3.8164861104955459E-3</v>
      </c>
      <c r="G21" s="5">
        <v>-7.6326094043132221E-3</v>
      </c>
      <c r="H21" s="5">
        <v>5.4877226156208894E-2</v>
      </c>
      <c r="I21" s="5">
        <v>-1.6347127573930417E-2</v>
      </c>
      <c r="J21" s="6">
        <v>3.68108484923041E-2</v>
      </c>
      <c r="K21" s="6">
        <v>6.4771815588246059E-2</v>
      </c>
      <c r="L21" s="6">
        <v>3.4086815862426949E-2</v>
      </c>
      <c r="M21" s="6">
        <v>2.0390743753594464E-2</v>
      </c>
      <c r="N21" s="6">
        <v>3.714506686695003E-2</v>
      </c>
      <c r="O21" s="7">
        <v>1.5604121732616147E-2</v>
      </c>
      <c r="P21" s="7">
        <v>2.3299049610774141E-3</v>
      </c>
      <c r="Q21" s="7">
        <v>2.3597231349112905E-2</v>
      </c>
      <c r="R21" s="7">
        <v>2.2277687311382188E-2</v>
      </c>
      <c r="S21" s="8">
        <v>-1.5741211215113547E-2</v>
      </c>
      <c r="T21" s="8">
        <v>0.1203011316410388</v>
      </c>
      <c r="U21" s="8">
        <v>0.24962834909251636</v>
      </c>
      <c r="W21" s="32">
        <v>1.838840328350267E-2</v>
      </c>
    </row>
    <row r="22" spans="2:23" ht="15.75" customHeight="1" x14ac:dyDescent="0.2">
      <c r="B22" s="5">
        <v>5.7433093671136345E-2</v>
      </c>
      <c r="C22" s="5">
        <v>6.3327414477496541E-2</v>
      </c>
      <c r="D22" s="5">
        <v>4.5978334013228157E-2</v>
      </c>
      <c r="E22" s="5">
        <v>8.7811366286602743E-2</v>
      </c>
      <c r="F22" s="5">
        <v>1.0515006574015677E-2</v>
      </c>
      <c r="G22" s="5">
        <v>3.071842370604436E-2</v>
      </c>
      <c r="H22" s="5">
        <v>9.2100160939320885E-2</v>
      </c>
      <c r="I22" s="5">
        <v>5.2115395473443724E-2</v>
      </c>
      <c r="J22" s="6">
        <v>2.4201777431415262E-2</v>
      </c>
      <c r="K22" s="6">
        <v>8.5836850607055384E-2</v>
      </c>
      <c r="L22" s="6">
        <v>3.9826816003631221E-2</v>
      </c>
      <c r="M22" s="6">
        <v>-2.3553450834325543E-2</v>
      </c>
      <c r="N22" s="6">
        <v>2.6763087826722647E-2</v>
      </c>
      <c r="O22" s="7">
        <v>1.76852533055895E-2</v>
      </c>
      <c r="P22" s="7">
        <v>4.5128545960830838E-2</v>
      </c>
      <c r="Q22" s="7">
        <v>5.8114965640824932E-2</v>
      </c>
      <c r="R22" s="7">
        <v>6.4154820238310151E-2</v>
      </c>
      <c r="S22" s="8">
        <v>-7.3142188124320329E-2</v>
      </c>
      <c r="T22" s="8">
        <v>0.27340526397498577</v>
      </c>
      <c r="U22" s="8">
        <v>-5.0398463826736226E-3</v>
      </c>
      <c r="W22" s="32">
        <v>5.5101296975444213E-2</v>
      </c>
    </row>
    <row r="23" spans="2:23" ht="15.75" customHeight="1" x14ac:dyDescent="0.2">
      <c r="B23" s="5">
        <v>7.1048584322920577E-2</v>
      </c>
      <c r="C23" s="5">
        <v>3.1843157207464577E-2</v>
      </c>
      <c r="D23" s="5">
        <v>3.9627861704822867E-2</v>
      </c>
      <c r="E23" s="5">
        <v>0.11258292442622418</v>
      </c>
      <c r="F23" s="5">
        <v>3.8471822488137838E-2</v>
      </c>
      <c r="G23" s="5">
        <v>3.1896498099695338E-2</v>
      </c>
      <c r="H23" s="5">
        <v>0.12947528326890137</v>
      </c>
      <c r="I23" s="5">
        <v>2.35825635480373E-2</v>
      </c>
      <c r="J23" s="6">
        <v>4.9228522019442222E-2</v>
      </c>
      <c r="K23" s="6">
        <v>2.7435545950376606E-2</v>
      </c>
      <c r="L23" s="6">
        <v>4.2466919975078947E-2</v>
      </c>
      <c r="M23" s="6">
        <v>6.0828353485178399E-2</v>
      </c>
      <c r="N23" s="6">
        <v>3.4817262418767023E-2</v>
      </c>
      <c r="O23" s="7">
        <v>-7.5649119781779333E-3</v>
      </c>
      <c r="P23" s="7">
        <v>5.6664323657859162E-3</v>
      </c>
      <c r="Q23" s="7">
        <v>1.0843815712371288E-2</v>
      </c>
      <c r="R23" s="7">
        <v>3.0239282834982697E-2</v>
      </c>
      <c r="S23" s="8">
        <v>-1.4876368900652436E-3</v>
      </c>
      <c r="T23" s="8">
        <v>5.3561159330961304E-2</v>
      </c>
      <c r="U23" s="8">
        <v>0.14140976521778736</v>
      </c>
      <c r="W23" s="32">
        <v>7.0064687324219249E-2</v>
      </c>
    </row>
    <row r="24" spans="2:23" ht="15.75" customHeight="1" x14ac:dyDescent="0.2">
      <c r="B24" s="5">
        <v>-3.5375355754451984E-2</v>
      </c>
      <c r="C24" s="5">
        <v>-1.6077410424078998E-2</v>
      </c>
      <c r="D24" s="5">
        <v>-2.584228377070719E-2</v>
      </c>
      <c r="E24" s="5">
        <v>-4.3918875970107407E-2</v>
      </c>
      <c r="F24" s="5">
        <v>-2.0905612160066936E-2</v>
      </c>
      <c r="G24" s="5">
        <v>-2.5810067867634522E-2</v>
      </c>
      <c r="H24" s="5">
        <v>-3.3335904652179289E-2</v>
      </c>
      <c r="I24" s="5">
        <v>-1.3600108973347574E-2</v>
      </c>
      <c r="J24" s="6">
        <v>-1.7829168340184706E-2</v>
      </c>
      <c r="K24" s="6">
        <v>-1.1957960775814999E-2</v>
      </c>
      <c r="L24" s="6">
        <v>-2.3309415901058986E-3</v>
      </c>
      <c r="M24" s="6">
        <v>-3.2624805633161821E-2</v>
      </c>
      <c r="N24" s="6">
        <v>-3.2539289032434471E-2</v>
      </c>
      <c r="O24" s="7">
        <v>-1.026526803483577E-3</v>
      </c>
      <c r="P24" s="7">
        <v>-8.184282968441663E-3</v>
      </c>
      <c r="Q24" s="7">
        <v>-1.658563481946379E-2</v>
      </c>
      <c r="R24" s="7">
        <v>-3.0837820569604137E-2</v>
      </c>
      <c r="S24" s="8">
        <v>-0.13862781157944257</v>
      </c>
      <c r="T24" s="8">
        <v>-9.6335156952419607E-2</v>
      </c>
      <c r="U24" s="8">
        <v>2.7664298470925112E-2</v>
      </c>
      <c r="W24" s="32">
        <v>-3.9227954095494386E-2</v>
      </c>
    </row>
    <row r="25" spans="2:23" ht="15.75" customHeight="1" x14ac:dyDescent="0.2">
      <c r="B25" s="5">
        <v>-1.9493996513317378E-2</v>
      </c>
      <c r="C25" s="5">
        <v>-6.8102978600154249E-4</v>
      </c>
      <c r="D25" s="5">
        <v>2.1521642106427201E-2</v>
      </c>
      <c r="E25" s="5">
        <v>-3.5840555611542264E-2</v>
      </c>
      <c r="F25" s="5">
        <v>-1.0707462757329369E-2</v>
      </c>
      <c r="G25" s="5">
        <v>-1.717527924025217E-2</v>
      </c>
      <c r="H25" s="5">
        <v>-2.3442252858847941E-2</v>
      </c>
      <c r="I25" s="5">
        <v>-2.8676525376159379E-2</v>
      </c>
      <c r="J25" s="6">
        <v>-3.4394881628703015E-2</v>
      </c>
      <c r="K25" s="6">
        <v>1.3182149840798322E-2</v>
      </c>
      <c r="L25" s="6">
        <v>-3.9830719134083196E-2</v>
      </c>
      <c r="M25" s="6">
        <v>-4.0367851036325592E-2</v>
      </c>
      <c r="N25" s="6">
        <v>-2.6892036903657927E-2</v>
      </c>
      <c r="O25" s="7">
        <v>-3.755893333632888E-3</v>
      </c>
      <c r="P25" s="7">
        <v>3.8208477816266736E-3</v>
      </c>
      <c r="Q25" s="7">
        <v>1.91595355216129E-3</v>
      </c>
      <c r="R25" s="7">
        <v>-4.2168959375329549E-3</v>
      </c>
      <c r="S25" s="8">
        <v>-6.7439559232890967E-2</v>
      </c>
      <c r="T25" s="8">
        <v>1.9122922898187421E-2</v>
      </c>
      <c r="U25" s="8">
        <v>-6.3069519070880709E-2</v>
      </c>
      <c r="W25" s="32">
        <v>-2.7963128159381494E-2</v>
      </c>
    </row>
    <row r="26" spans="2:23" ht="15.75" customHeight="1" x14ac:dyDescent="0.2">
      <c r="B26" s="5">
        <v>0.11803102549238012</v>
      </c>
      <c r="C26" s="5">
        <v>0.13364354245707025</v>
      </c>
      <c r="D26" s="5">
        <v>0.15778739231970806</v>
      </c>
      <c r="E26" s="5">
        <v>0.13420583886610946</v>
      </c>
      <c r="F26" s="5">
        <v>0.16426921520423393</v>
      </c>
      <c r="G26" s="5">
        <v>0.12257981187905505</v>
      </c>
      <c r="H26" s="5">
        <v>0.14123620394395192</v>
      </c>
      <c r="I26" s="5">
        <v>8.8367433252138611E-2</v>
      </c>
      <c r="J26" s="6">
        <v>0.14182073295136075</v>
      </c>
      <c r="K26" s="6">
        <v>8.5596915761047096E-2</v>
      </c>
      <c r="L26" s="6">
        <v>0.11413660128795433</v>
      </c>
      <c r="M26" s="6">
        <v>0.16666675745207496</v>
      </c>
      <c r="N26" s="6">
        <v>0.15021696967633696</v>
      </c>
      <c r="O26" s="7">
        <v>1.4152478455382487E-2</v>
      </c>
      <c r="P26" s="7">
        <v>2.9597357471277362E-2</v>
      </c>
      <c r="Q26" s="7">
        <v>4.1492448000195435E-2</v>
      </c>
      <c r="R26" s="7">
        <v>7.1799615934968711E-2</v>
      </c>
      <c r="S26" s="8">
        <v>0.28407088675348624</v>
      </c>
      <c r="T26" s="8">
        <v>0.13154506986686867</v>
      </c>
      <c r="U26" s="8">
        <v>0.26692579108946862</v>
      </c>
      <c r="W26" s="32">
        <v>0.10788446478390683</v>
      </c>
    </row>
    <row r="27" spans="2:23" ht="15.75" customHeight="1" x14ac:dyDescent="0.2">
      <c r="B27" s="5">
        <v>4.6763101628086647E-2</v>
      </c>
      <c r="C27" s="5">
        <v>4.0202210824823337E-2</v>
      </c>
      <c r="D27" s="5">
        <v>7.5133872440894908E-2</v>
      </c>
      <c r="E27" s="5">
        <v>5.001666299488803E-2</v>
      </c>
      <c r="F27" s="5">
        <v>2.9002093852796156E-2</v>
      </c>
      <c r="G27" s="5">
        <v>3.4010436218805444E-2</v>
      </c>
      <c r="H27" s="5">
        <v>5.2393775202825683E-2</v>
      </c>
      <c r="I27" s="5">
        <v>4.1577446946277387E-2</v>
      </c>
      <c r="J27" s="6">
        <v>5.5173408431523442E-2</v>
      </c>
      <c r="K27" s="6">
        <v>5.9993746622155272E-2</v>
      </c>
      <c r="L27" s="6">
        <v>5.3284948534848622E-2</v>
      </c>
      <c r="M27" s="6">
        <v>5.1271288722632175E-2</v>
      </c>
      <c r="N27" s="6">
        <v>5.3177602737564361E-2</v>
      </c>
      <c r="O27" s="7">
        <v>3.1593706892077381E-3</v>
      </c>
      <c r="P27" s="7">
        <v>1.2155695033681049E-2</v>
      </c>
      <c r="Q27" s="7">
        <v>3.4563542206968154E-2</v>
      </c>
      <c r="R27" s="7">
        <v>3.0404494349265329E-2</v>
      </c>
      <c r="S27" s="8">
        <v>2.0197953859388922E-2</v>
      </c>
      <c r="T27" s="8">
        <v>9.3945987355790475E-2</v>
      </c>
      <c r="U27" s="8">
        <v>5.4790064765717517E-2</v>
      </c>
      <c r="W27" s="32">
        <v>3.7121406659432372E-2</v>
      </c>
    </row>
    <row r="28" spans="2:23" ht="15.75" customHeight="1" x14ac:dyDescent="0.2">
      <c r="B28" s="5">
        <v>-3.3393467163090559E-3</v>
      </c>
      <c r="C28" s="5">
        <v>-4.7399189546525724E-3</v>
      </c>
      <c r="D28" s="5">
        <v>2.008423825261527E-2</v>
      </c>
      <c r="E28" s="5">
        <v>2.285540149322043E-3</v>
      </c>
      <c r="F28" s="5">
        <v>3.3022581008129763E-2</v>
      </c>
      <c r="G28" s="5">
        <v>-5.6825176200344159E-3</v>
      </c>
      <c r="H28" s="5">
        <v>2.9471679657850601E-2</v>
      </c>
      <c r="I28" s="5">
        <v>2.368927623894905E-2</v>
      </c>
      <c r="J28" s="6">
        <v>-7.497870655149343E-3</v>
      </c>
      <c r="K28" s="6">
        <v>3.1331136414088502E-2</v>
      </c>
      <c r="L28" s="6">
        <v>-1.4071966972007709E-2</v>
      </c>
      <c r="M28" s="6">
        <v>-8.7848016713332991E-4</v>
      </c>
      <c r="N28" s="6">
        <v>4.9358909786879025E-3</v>
      </c>
      <c r="O28" s="7">
        <v>-6.8762524430079257E-3</v>
      </c>
      <c r="P28" s="7">
        <v>3.4804497769550733E-4</v>
      </c>
      <c r="Q28" s="7">
        <v>-1.3004706589057991E-2</v>
      </c>
      <c r="R28" s="7">
        <v>-5.1282051282051135E-3</v>
      </c>
      <c r="S28" s="8">
        <v>3.256756959960936E-2</v>
      </c>
      <c r="T28" s="8">
        <v>3.0068311993369536E-2</v>
      </c>
      <c r="U28" s="8">
        <v>-8.7110180914009933E-2</v>
      </c>
      <c r="W28" s="32">
        <v>-1.1136640158463601E-2</v>
      </c>
    </row>
    <row r="29" spans="2:23" ht="15.75" customHeight="1" x14ac:dyDescent="0.2">
      <c r="B29" s="5">
        <v>3.1393443817382752E-2</v>
      </c>
      <c r="C29" s="5">
        <v>5.340420965356641E-2</v>
      </c>
      <c r="D29" s="5">
        <v>6.1685088760999943E-2</v>
      </c>
      <c r="E29" s="5">
        <v>1.4746123441775599E-2</v>
      </c>
      <c r="F29" s="5">
        <v>6.9057823664956455E-2</v>
      </c>
      <c r="G29" s="5">
        <v>4.571927189397644E-2</v>
      </c>
      <c r="H29" s="5">
        <v>8.1191154179335737E-4</v>
      </c>
      <c r="I29" s="5">
        <v>-1.9255074987836868E-2</v>
      </c>
      <c r="J29" s="6">
        <v>2.4622295494072952E-2</v>
      </c>
      <c r="K29" s="6">
        <v>1.5673421055269744E-2</v>
      </c>
      <c r="L29" s="6">
        <v>-6.0308233751109363E-4</v>
      </c>
      <c r="M29" s="6">
        <v>5.8901032077160888E-2</v>
      </c>
      <c r="N29" s="6">
        <v>3.7000517192872576E-2</v>
      </c>
      <c r="O29" s="7">
        <v>-1.3034772884225844E-2</v>
      </c>
      <c r="P29" s="7">
        <v>1.6818333536007258E-4</v>
      </c>
      <c r="Q29" s="7">
        <v>-1.9274695397397772E-2</v>
      </c>
      <c r="R29" s="7">
        <v>5.3323853537150972E-4</v>
      </c>
      <c r="S29" s="8">
        <v>0.24487761474925349</v>
      </c>
      <c r="T29" s="8">
        <v>6.5748335297577468E-2</v>
      </c>
      <c r="U29" s="8">
        <v>7.8014309619332922E-2</v>
      </c>
      <c r="W29" s="32">
        <v>2.6091474971999741E-2</v>
      </c>
    </row>
    <row r="30" spans="2:23" ht="15.75" customHeight="1" x14ac:dyDescent="0.2">
      <c r="B30" s="5">
        <v>3.6478848080992783E-2</v>
      </c>
      <c r="C30" s="5">
        <v>2.4010546479963556E-2</v>
      </c>
      <c r="D30" s="5">
        <v>1.8138075953820443E-2</v>
      </c>
      <c r="E30" s="5">
        <v>-2.9812734082396927E-2</v>
      </c>
      <c r="F30" s="5">
        <v>7.2494006713751599E-2</v>
      </c>
      <c r="G30" s="5">
        <v>6.9420670960902903E-2</v>
      </c>
      <c r="H30" s="5">
        <v>4.2227398619130552E-2</v>
      </c>
      <c r="I30" s="5">
        <v>2.1264224491400623E-2</v>
      </c>
      <c r="J30" s="6">
        <v>2.7307545276173885E-2</v>
      </c>
      <c r="K30" s="6">
        <v>-7.1041979351434597E-3</v>
      </c>
      <c r="L30" s="6">
        <v>1.03589749829897E-2</v>
      </c>
      <c r="M30" s="6">
        <v>4.9813529324843543E-2</v>
      </c>
      <c r="N30" s="6">
        <v>3.8976392087688438E-2</v>
      </c>
      <c r="O30" s="7">
        <v>-1.2989756795284484E-2</v>
      </c>
      <c r="P30" s="7">
        <v>-1.4963212848080035E-3</v>
      </c>
      <c r="Q30" s="7">
        <v>-1.8293548080486045E-2</v>
      </c>
      <c r="R30" s="7">
        <v>-1.8298099129507927E-2</v>
      </c>
      <c r="S30" s="8">
        <v>3.1070485097245675E-2</v>
      </c>
      <c r="T30" s="8">
        <v>5.5517443267783385E-2</v>
      </c>
      <c r="U30" s="8">
        <v>1.2686588150511009E-2</v>
      </c>
      <c r="W30" s="32">
        <v>4.2438634008107733E-2</v>
      </c>
    </row>
    <row r="31" spans="2:23" ht="15.75" customHeight="1" x14ac:dyDescent="0.2">
      <c r="B31" s="5">
        <v>5.0365610242928731E-2</v>
      </c>
      <c r="C31" s="5">
        <v>4.829653601582308E-2</v>
      </c>
      <c r="D31" s="5">
        <v>3.9284434914761052E-2</v>
      </c>
      <c r="E31" s="5">
        <v>6.9641754169240122E-2</v>
      </c>
      <c r="F31" s="5">
        <v>1.7763662703714784E-2</v>
      </c>
      <c r="G31" s="5">
        <v>2.5521921600501422E-2</v>
      </c>
      <c r="H31" s="5">
        <v>6.3172739876753092E-2</v>
      </c>
      <c r="I31" s="5">
        <v>4.1442750301610681E-2</v>
      </c>
      <c r="J31" s="6">
        <v>2.9771497250519221E-2</v>
      </c>
      <c r="K31" s="6">
        <v>1.7867397185081881E-2</v>
      </c>
      <c r="L31" s="6">
        <v>4.0811847070714724E-2</v>
      </c>
      <c r="M31" s="6">
        <v>7.9082472177980333E-3</v>
      </c>
      <c r="N31" s="6">
        <v>2.2765435565741194E-2</v>
      </c>
      <c r="O31" s="7">
        <v>8.5884648058245448E-3</v>
      </c>
      <c r="P31" s="7">
        <v>1.1855683280064909E-2</v>
      </c>
      <c r="Q31" s="7">
        <v>2.2172245070924506E-2</v>
      </c>
      <c r="R31" s="7">
        <v>2.5334781035106745E-2</v>
      </c>
      <c r="S31" s="8">
        <v>-8.5688826307095158E-3</v>
      </c>
      <c r="T31" s="8">
        <v>6.9209043430112568E-2</v>
      </c>
      <c r="U31" s="8">
        <v>6.8358157943722811E-2</v>
      </c>
      <c r="W31" s="32">
        <v>5.2425312555847307E-2</v>
      </c>
    </row>
    <row r="32" spans="2:23" ht="15.75" customHeight="1" x14ac:dyDescent="0.2">
      <c r="B32" s="5">
        <v>4.559788946381935E-3</v>
      </c>
      <c r="C32" s="5">
        <v>8.0592636247619632E-3</v>
      </c>
      <c r="D32" s="5">
        <v>4.0431382522898048E-4</v>
      </c>
      <c r="E32" s="5">
        <v>-2.7140176122419455E-2</v>
      </c>
      <c r="F32" s="5">
        <v>2.8480997305497562E-2</v>
      </c>
      <c r="G32" s="5">
        <v>3.0288053116399639E-2</v>
      </c>
      <c r="H32" s="5">
        <v>-2.8595157092974142E-2</v>
      </c>
      <c r="I32" s="5">
        <v>7.3460417433287503E-3</v>
      </c>
      <c r="J32" s="6">
        <v>3.5880015329245563E-2</v>
      </c>
      <c r="K32" s="6">
        <v>1.6987488466846015E-2</v>
      </c>
      <c r="L32" s="6">
        <v>3.2995547944214831E-2</v>
      </c>
      <c r="M32" s="6">
        <v>4.7077185287219207E-2</v>
      </c>
      <c r="N32" s="6">
        <v>4.3621224527735335E-2</v>
      </c>
      <c r="O32" s="7">
        <v>2.5227345065024971E-3</v>
      </c>
      <c r="P32" s="7">
        <v>1.8579139641079654E-3</v>
      </c>
      <c r="Q32" s="7">
        <v>1.5524525874953326E-2</v>
      </c>
      <c r="R32" s="7">
        <v>1.7649135192375574E-2</v>
      </c>
      <c r="S32" s="8">
        <v>5.0779745169976222E-2</v>
      </c>
      <c r="T32" s="8">
        <v>-1.645131921267768E-3</v>
      </c>
      <c r="U32" s="8">
        <v>-3.8837486100396015E-2</v>
      </c>
      <c r="W32" s="32">
        <v>5.4865025818131288E-3</v>
      </c>
    </row>
    <row r="33" spans="1:25" ht="15.75" customHeight="1" x14ac:dyDescent="0.2">
      <c r="B33" s="5">
        <v>2.4820129611874939E-2</v>
      </c>
      <c r="C33" s="5">
        <v>1.7737537576523202E-2</v>
      </c>
      <c r="D33" s="5">
        <v>1.4642889074933484E-2</v>
      </c>
      <c r="E33" s="5">
        <v>8.4433892268882593E-2</v>
      </c>
      <c r="F33" s="5">
        <v>-1.595233827372472E-2</v>
      </c>
      <c r="G33" s="5">
        <v>-1.1861845173804952E-2</v>
      </c>
      <c r="H33" s="5">
        <v>3.0659297598895845E-2</v>
      </c>
      <c r="I33" s="5">
        <v>3.2741466638874561E-2</v>
      </c>
      <c r="J33" s="6">
        <v>-8.5049914045299633E-3</v>
      </c>
      <c r="K33" s="6">
        <v>1.326815813402942E-2</v>
      </c>
      <c r="L33" s="6">
        <v>1.4310157971822296E-3</v>
      </c>
      <c r="M33" s="6">
        <v>-2.1690285786167697E-2</v>
      </c>
      <c r="N33" s="6">
        <v>-1.4950418700203978E-2</v>
      </c>
      <c r="O33" s="7">
        <v>1.0794255144826364E-2</v>
      </c>
      <c r="P33" s="7">
        <v>1.0095471733411753E-2</v>
      </c>
      <c r="Q33" s="7">
        <v>-1.670791263627134E-2</v>
      </c>
      <c r="R33" s="7">
        <v>-2.4280263614290646E-2</v>
      </c>
      <c r="S33" s="8">
        <v>6.0806161826697937E-2</v>
      </c>
      <c r="T33" s="8">
        <v>-3.6815488562053932E-2</v>
      </c>
      <c r="U33" s="8">
        <v>1.3605231931136559E-2</v>
      </c>
      <c r="W33" s="32">
        <v>2.221397632316955E-2</v>
      </c>
    </row>
    <row r="34" spans="1:25" ht="15.75" customHeight="1" x14ac:dyDescent="0.2">
      <c r="B34" s="5">
        <v>1.7368175333121124E-2</v>
      </c>
      <c r="C34" s="5">
        <v>1.3145006473031842E-2</v>
      </c>
      <c r="D34" s="5">
        <v>-1.4781821928312493E-2</v>
      </c>
      <c r="E34" s="5">
        <v>1.5051997810618617E-2</v>
      </c>
      <c r="F34" s="5">
        <v>-6.9478199261596256E-3</v>
      </c>
      <c r="G34" s="5">
        <v>5.536350142662582E-3</v>
      </c>
      <c r="H34" s="5">
        <v>3.3756581381267602E-3</v>
      </c>
      <c r="I34" s="5">
        <v>3.7591499505572813E-2</v>
      </c>
      <c r="J34" s="6">
        <v>3.2953105196450051E-3</v>
      </c>
      <c r="K34" s="6">
        <v>-5.8920984317062552E-2</v>
      </c>
      <c r="L34" s="6">
        <v>1.7710663683818097E-2</v>
      </c>
      <c r="M34" s="6">
        <v>-5.4221533694810446E-3</v>
      </c>
      <c r="N34" s="6">
        <v>-6.4726372546644196E-3</v>
      </c>
      <c r="O34" s="7">
        <v>1.188076843670683E-2</v>
      </c>
      <c r="P34" s="7">
        <v>5.1876434428787298E-3</v>
      </c>
      <c r="Q34" s="7">
        <v>1.3453224577498819E-2</v>
      </c>
      <c r="R34" s="7">
        <v>4.0881621045148241E-3</v>
      </c>
      <c r="S34" s="8">
        <v>-6.2586774024791292E-2</v>
      </c>
      <c r="T34" s="8">
        <v>-2.0708757825973482E-2</v>
      </c>
      <c r="U34" s="8">
        <v>4.8681677172965433E-2</v>
      </c>
      <c r="W34" s="32">
        <v>2.2748109365910464E-2</v>
      </c>
    </row>
    <row r="35" spans="1:25" ht="15.75" customHeight="1" x14ac:dyDescent="0.2">
      <c r="B35" s="5">
        <v>2.8585247948129142E-2</v>
      </c>
      <c r="C35" s="5">
        <v>3.0232598860352299E-2</v>
      </c>
      <c r="D35" s="5">
        <v>1.964417601926147E-2</v>
      </c>
      <c r="E35" s="5">
        <v>3.0062011323806814E-2</v>
      </c>
      <c r="F35" s="5">
        <v>7.6673997455141904E-3</v>
      </c>
      <c r="G35" s="5">
        <v>2.0882908291307227E-2</v>
      </c>
      <c r="H35" s="5">
        <v>1.8630600471027759E-2</v>
      </c>
      <c r="I35" s="5">
        <v>2.3671904476378115E-2</v>
      </c>
      <c r="J35" s="6">
        <v>1.187468418393125E-2</v>
      </c>
      <c r="K35" s="6">
        <v>2.1913450854095431E-2</v>
      </c>
      <c r="L35" s="6">
        <v>1.9325883861513092E-2</v>
      </c>
      <c r="M35" s="6">
        <v>1.0124610591900373E-2</v>
      </c>
      <c r="N35" s="6">
        <v>1.1992905621990728E-2</v>
      </c>
      <c r="O35" s="7">
        <v>-2.3516708607919483E-3</v>
      </c>
      <c r="P35" s="7">
        <v>5.1788265018445495E-3</v>
      </c>
      <c r="Q35" s="7">
        <v>-1.4186879256207924E-2</v>
      </c>
      <c r="R35" s="7">
        <v>-3.894494600814283E-3</v>
      </c>
      <c r="S35" s="8">
        <v>-2.8262866872894716E-2</v>
      </c>
      <c r="T35" s="8">
        <v>7.4969921036941695E-2</v>
      </c>
      <c r="U35" s="8">
        <v>-3.3157620311698604E-3</v>
      </c>
      <c r="W35" s="32">
        <v>2.8992596569941114E-2</v>
      </c>
    </row>
    <row r="36" spans="1:25" ht="15.75" customHeight="1" x14ac:dyDescent="0.2">
      <c r="B36" s="5">
        <v>-4.4641478116800117E-2</v>
      </c>
      <c r="C36" s="5">
        <v>-4.1904730302008822E-2</v>
      </c>
      <c r="D36" s="5">
        <v>-3.1242828574238598E-2</v>
      </c>
      <c r="E36" s="5">
        <v>-5.7191467085459892E-2</v>
      </c>
      <c r="F36" s="5">
        <v>-3.5215126907054931E-2</v>
      </c>
      <c r="G36" s="5">
        <v>-3.213843557610014E-2</v>
      </c>
      <c r="H36" s="5">
        <v>-2.9428083680163662E-2</v>
      </c>
      <c r="I36" s="5">
        <v>-5.5015993154639217E-2</v>
      </c>
      <c r="J36" s="6">
        <v>-3.3707865168539186E-2</v>
      </c>
      <c r="K36" s="6">
        <v>-3.3620013824200094E-2</v>
      </c>
      <c r="L36" s="6">
        <v>-4.3310270464552138E-2</v>
      </c>
      <c r="M36" s="6">
        <v>-8.8666152659984745E-3</v>
      </c>
      <c r="N36" s="6">
        <v>-2.3059782677023258E-2</v>
      </c>
      <c r="O36" s="7">
        <v>-8.1350636653305403E-3</v>
      </c>
      <c r="P36" s="7">
        <v>-1.6582823213547304E-3</v>
      </c>
      <c r="Q36" s="7">
        <v>-3.2313282629507806E-2</v>
      </c>
      <c r="R36" s="7">
        <v>-2.2036609205615815E-2</v>
      </c>
      <c r="S36" s="8">
        <v>0.11588469277004991</v>
      </c>
      <c r="T36" s="8">
        <v>9.5544134629190394E-3</v>
      </c>
      <c r="U36" s="8">
        <v>-0.10154151688852288</v>
      </c>
      <c r="W36" s="32">
        <v>-4.7571246315798704E-2</v>
      </c>
    </row>
    <row r="37" spans="1:25" ht="15.75" customHeight="1" x14ac:dyDescent="0.2">
      <c r="B37" s="5">
        <v>6.6873817887057527E-2</v>
      </c>
      <c r="C37" s="5">
        <v>6.5889508362899238E-2</v>
      </c>
      <c r="D37" s="5">
        <v>4.948095303425263E-2</v>
      </c>
      <c r="E37" s="5">
        <v>7.2737368128817245E-2</v>
      </c>
      <c r="F37" s="5">
        <v>2.4826216484607744E-2</v>
      </c>
      <c r="G37" s="5">
        <v>4.9250120948234194E-2</v>
      </c>
      <c r="H37" s="5">
        <v>9.3041262057618396E-2</v>
      </c>
      <c r="I37" s="5">
        <v>4.5678912445379478E-2</v>
      </c>
      <c r="J37" s="6">
        <v>3.2558139534883665E-2</v>
      </c>
      <c r="K37" s="6">
        <v>1.2997400519895994E-2</v>
      </c>
      <c r="L37" s="6">
        <v>4.2077580539119037E-2</v>
      </c>
      <c r="M37" s="6">
        <v>1.2057565149747131E-2</v>
      </c>
      <c r="N37" s="6">
        <v>2.9674489023467192E-2</v>
      </c>
      <c r="O37" s="7">
        <v>-1.190476190476165E-3</v>
      </c>
      <c r="P37" s="7">
        <v>-6.6889632107023462E-3</v>
      </c>
      <c r="Q37" s="7">
        <v>6.0383631222596084E-3</v>
      </c>
      <c r="R37" s="7">
        <v>-5.088133745229895E-3</v>
      </c>
      <c r="S37" s="8">
        <v>0.11011797391040297</v>
      </c>
      <c r="T37" s="8">
        <v>7.903294436605994E-2</v>
      </c>
      <c r="U37" s="8">
        <v>7.1807680299718929E-2</v>
      </c>
      <c r="W37" s="32">
        <v>6.9143873301234615E-2</v>
      </c>
    </row>
    <row r="38" spans="1:25" ht="15.75" customHeight="1" x14ac:dyDescent="0.15">
      <c r="A38" s="180" t="s">
        <v>97</v>
      </c>
      <c r="B38" s="35">
        <f>SLOPE(B2:B37,W2:W37)</f>
        <v>1.0290576355988412</v>
      </c>
      <c r="C38" s="35">
        <f>SLOPE(C$2:C$37,$W$2:$W$37)</f>
        <v>1.1063456286951721</v>
      </c>
      <c r="D38" s="35">
        <f t="shared" ref="D38:U38" si="0">SLOPE(D$2:D$37,$W$2:$W$37)</f>
        <v>1.1927321263043764</v>
      </c>
      <c r="E38" s="35">
        <f t="shared" si="0"/>
        <v>1.1027865640334771</v>
      </c>
      <c r="F38" s="35">
        <f t="shared" si="0"/>
        <v>1.1038458201950989</v>
      </c>
      <c r="G38" s="35">
        <f t="shared" si="0"/>
        <v>0.91877650713083547</v>
      </c>
      <c r="H38" s="35">
        <f t="shared" si="0"/>
        <v>1.2682613293603453</v>
      </c>
      <c r="I38" s="35">
        <f t="shared" si="0"/>
        <v>0.73932411625096528</v>
      </c>
      <c r="J38" s="35">
        <f t="shared" si="0"/>
        <v>0.84071188726284896</v>
      </c>
      <c r="K38" s="35">
        <f t="shared" si="0"/>
        <v>0.75901014376562637</v>
      </c>
      <c r="L38" s="35">
        <f t="shared" si="0"/>
        <v>0.75007607255622177</v>
      </c>
      <c r="M38" s="35">
        <f t="shared" si="0"/>
        <v>0.8992243484041299</v>
      </c>
      <c r="N38" s="35">
        <f t="shared" si="0"/>
        <v>0.88610704858664202</v>
      </c>
      <c r="O38" s="35">
        <f t="shared" si="0"/>
        <v>4.6505112555088705E-2</v>
      </c>
      <c r="P38" s="35">
        <f t="shared" si="0"/>
        <v>0.34283328678221675</v>
      </c>
      <c r="Q38" s="35">
        <f t="shared" si="0"/>
        <v>0.35066218031962643</v>
      </c>
      <c r="R38" s="35">
        <f t="shared" si="0"/>
        <v>0.504858411105917</v>
      </c>
      <c r="S38" s="35">
        <f t="shared" si="0"/>
        <v>1.5198452962327695</v>
      </c>
      <c r="T38" s="35">
        <f t="shared" si="0"/>
        <v>1.7667049878221521</v>
      </c>
      <c r="U38" s="35">
        <f t="shared" si="0"/>
        <v>1.4737244975765866</v>
      </c>
    </row>
    <row r="39" spans="1:25" ht="15.75" customHeight="1" x14ac:dyDescent="0.15">
      <c r="A39" s="180" t="s">
        <v>100</v>
      </c>
      <c r="B39" s="34">
        <f>0.02+B38*(0.075-0.02)</f>
        <v>7.6598169957936266E-2</v>
      </c>
      <c r="C39" s="34">
        <f>0.02+C38*(0.075-0.02)</f>
        <v>8.084900957823446E-2</v>
      </c>
      <c r="D39" s="34">
        <f t="shared" ref="D39:U39" si="1">0.02+D38*(0.075-0.02)</f>
        <v>8.5600266946740694E-2</v>
      </c>
      <c r="E39" s="34">
        <f t="shared" si="1"/>
        <v>8.0653261021841227E-2</v>
      </c>
      <c r="F39" s="34">
        <f t="shared" si="1"/>
        <v>8.0711520110730434E-2</v>
      </c>
      <c r="G39" s="34">
        <f>0.02+G38*(0.075-0.02)</f>
        <v>7.0532707892195942E-2</v>
      </c>
      <c r="H39" s="34">
        <f t="shared" si="1"/>
        <v>8.9754373114818986E-2</v>
      </c>
      <c r="I39" s="34">
        <f t="shared" si="1"/>
        <v>6.066282639380309E-2</v>
      </c>
      <c r="J39" s="34">
        <f>0.02+J38*(0.075-0.02)</f>
        <v>6.623915379945669E-2</v>
      </c>
      <c r="K39" s="34">
        <f t="shared" si="1"/>
        <v>6.174555790710945E-2</v>
      </c>
      <c r="L39" s="34">
        <f t="shared" si="1"/>
        <v>6.1254183990592195E-2</v>
      </c>
      <c r="M39" s="34">
        <f t="shared" si="1"/>
        <v>6.9457339162227141E-2</v>
      </c>
      <c r="N39" s="34">
        <f t="shared" si="1"/>
        <v>6.8735887672265308E-2</v>
      </c>
      <c r="O39" s="34">
        <f t="shared" si="1"/>
        <v>2.2557781190529879E-2</v>
      </c>
      <c r="P39" s="34">
        <f t="shared" si="1"/>
        <v>3.8855830773021918E-2</v>
      </c>
      <c r="Q39" s="34">
        <f t="shared" si="1"/>
        <v>3.9286419917579453E-2</v>
      </c>
      <c r="R39" s="34">
        <f t="shared" si="1"/>
        <v>4.7767212610825435E-2</v>
      </c>
      <c r="S39" s="34">
        <f t="shared" si="1"/>
        <v>0.10359149129280232</v>
      </c>
      <c r="T39" s="34">
        <f t="shared" si="1"/>
        <v>0.11716877433021836</v>
      </c>
      <c r="U39" s="34">
        <f t="shared" si="1"/>
        <v>0.10105484736671226</v>
      </c>
    </row>
    <row r="40" spans="1:25" ht="15.75" customHeight="1" x14ac:dyDescent="0.2">
      <c r="W40" s="20"/>
      <c r="X40" s="20"/>
      <c r="Y40" s="20"/>
    </row>
    <row r="41" spans="1:25" ht="15.75" customHeight="1" x14ac:dyDescent="0.2">
      <c r="B41" s="10" t="s">
        <v>95</v>
      </c>
      <c r="C41" s="26" t="s">
        <v>77</v>
      </c>
      <c r="D41" s="26" t="s">
        <v>76</v>
      </c>
      <c r="E41" s="26" t="s">
        <v>75</v>
      </c>
      <c r="F41" s="26" t="s">
        <v>74</v>
      </c>
      <c r="G41" s="26" t="s">
        <v>73</v>
      </c>
      <c r="H41" s="26" t="s">
        <v>72</v>
      </c>
      <c r="I41" s="26" t="s">
        <v>71</v>
      </c>
      <c r="J41" s="26" t="s">
        <v>70</v>
      </c>
      <c r="K41" s="25" t="s">
        <v>68</v>
      </c>
      <c r="L41" s="25" t="s">
        <v>67</v>
      </c>
      <c r="M41" s="25" t="s">
        <v>66</v>
      </c>
      <c r="N41" s="25" t="s">
        <v>65</v>
      </c>
      <c r="O41" s="25" t="s">
        <v>64</v>
      </c>
      <c r="P41" s="27" t="s">
        <v>62</v>
      </c>
      <c r="Q41" s="27" t="s">
        <v>61</v>
      </c>
      <c r="R41" s="27" t="s">
        <v>60</v>
      </c>
      <c r="S41" s="27" t="s">
        <v>59</v>
      </c>
      <c r="T41" s="28" t="s">
        <v>80</v>
      </c>
      <c r="U41" s="28" t="s">
        <v>79</v>
      </c>
      <c r="V41" s="29" t="s">
        <v>47</v>
      </c>
      <c r="W41" s="31"/>
      <c r="X41" s="31"/>
      <c r="Y41" s="31"/>
    </row>
    <row r="42" spans="1:25" ht="15.75" customHeight="1" x14ac:dyDescent="0.15">
      <c r="B42" s="10" t="s">
        <v>84</v>
      </c>
      <c r="C42" s="12">
        <v>0.25057023458159683</v>
      </c>
      <c r="D42" s="12">
        <v>6.9081256771342386E-2</v>
      </c>
      <c r="E42" s="12">
        <v>6.5427663330285948E-2</v>
      </c>
      <c r="F42" s="12">
        <v>0.10305340843411917</v>
      </c>
      <c r="G42" s="12">
        <v>5.8321967257176574E-2</v>
      </c>
      <c r="H42" s="12">
        <v>3.3552700160244905E-2</v>
      </c>
      <c r="I42" s="12">
        <v>0.11999276946523436</v>
      </c>
      <c r="J42" s="12">
        <v>0</v>
      </c>
      <c r="K42" s="46">
        <v>3.7570118984646926E-2</v>
      </c>
      <c r="L42" s="46">
        <v>0</v>
      </c>
      <c r="M42" s="46">
        <v>2.2714383147914234E-2</v>
      </c>
      <c r="N42" s="46">
        <v>2.529408167339138E-2</v>
      </c>
      <c r="O42" s="46">
        <v>1.4421416194047465E-2</v>
      </c>
      <c r="P42" s="47">
        <v>0</v>
      </c>
      <c r="Q42" s="47">
        <v>0</v>
      </c>
      <c r="R42" s="47">
        <v>0</v>
      </c>
      <c r="S42" s="47">
        <v>0</v>
      </c>
      <c r="T42" s="48">
        <v>7.6130387326962534E-2</v>
      </c>
      <c r="U42" s="48">
        <v>8.8962667571941809E-2</v>
      </c>
      <c r="V42" s="48">
        <v>3.4906945101095668E-2</v>
      </c>
      <c r="W42" s="31"/>
      <c r="X42" s="31"/>
      <c r="Y42" s="31"/>
    </row>
    <row r="43" spans="1:25" ht="15.75" customHeight="1" x14ac:dyDescent="0.15">
      <c r="B43" s="10" t="s">
        <v>85</v>
      </c>
      <c r="C43" s="12" cm="1">
        <f t="array" ref="C43">MMULT($C$42:$V$42,'Covariance Matrix'!B29:B48)</f>
        <v>4.0878093715577012E-2</v>
      </c>
      <c r="D43" s="183" cm="1">
        <f t="array" ref="D43">MMULT($C$42:$V$42,'Covariance Matrix'!C29:C48)</f>
        <v>4.5304720380432019E-2</v>
      </c>
      <c r="E43" s="183" cm="1">
        <f t="array" ref="E43">MMULT($C$42:$V$42,'Covariance Matrix'!D29:D48)</f>
        <v>5.0382375550498792E-2</v>
      </c>
      <c r="F43" s="183" cm="1">
        <f t="array" ref="F43">MMULT($C$42:$V$42,'Covariance Matrix'!E29:E48)</f>
        <v>4.3440580940112265E-2</v>
      </c>
      <c r="G43" s="183" cm="1">
        <f t="array" ref="G43">MMULT($C$42:$V$42,'Covariance Matrix'!F29:F48)</f>
        <v>4.5828806328413442E-2</v>
      </c>
      <c r="H43" s="183" cm="1">
        <f t="array" ref="H43">MMULT($C$42:$V$42,'Covariance Matrix'!G29:G48)</f>
        <v>3.6833518173252998E-2</v>
      </c>
      <c r="I43" s="183" cm="1">
        <f t="array" ref="I43">MMULT($C$42:$V$42,'Covariance Matrix'!H29:H48)</f>
        <v>5.1655962890577563E-2</v>
      </c>
      <c r="J43" s="183" cm="1">
        <f t="array" ref="J43">MMULT($C$42:$V$42,'Covariance Matrix'!I29:I48)</f>
        <v>2.8027207323739679E-2</v>
      </c>
      <c r="K43" s="46" cm="1">
        <f t="array" ref="K43">MMULT($C$42:$V$42,'Covariance Matrix'!J29:J48)</f>
        <v>3.4872049669941146E-2</v>
      </c>
      <c r="L43" s="185" cm="1">
        <f t="array" ref="L43">MMULT($C$42:$V$42,'Covariance Matrix'!K29:K48)</f>
        <v>3.3534161614647937E-2</v>
      </c>
      <c r="M43" s="185" cm="1">
        <f t="array" ref="M43">MMULT($C$42:$V$42,'Covariance Matrix'!L29:L48)</f>
        <v>2.9865326216514679E-2</v>
      </c>
      <c r="N43" s="185" cm="1">
        <f t="array" ref="N43">MMULT($C$42:$V$42,'Covariance Matrix'!M29:M48)</f>
        <v>3.823685600181425E-2</v>
      </c>
      <c r="O43" s="185" cm="1">
        <f t="array" ref="O43">MMULT($C$42:$V$42,'Covariance Matrix'!N29:N48)</f>
        <v>3.7992384918514553E-2</v>
      </c>
      <c r="P43" s="47" cm="1">
        <f t="array" ref="P43">MMULT($C$42:$V$42,'Covariance Matrix'!O29:O48)</f>
        <v>2.3180193722446884E-3</v>
      </c>
      <c r="Q43" s="186" cm="1">
        <f t="array" ref="Q43">MMULT($C$42:$V$42,'Covariance Matrix'!P29:P48)</f>
        <v>1.4971434409361677E-2</v>
      </c>
      <c r="R43" s="186" cm="1">
        <f t="array" ref="R43">MMULT($C$42:$V$42,'Covariance Matrix'!Q29:Q48)</f>
        <v>1.5215413645312493E-2</v>
      </c>
      <c r="S43" s="186" cm="1">
        <f t="array" ref="S43">MMULT($C$42:$V$42,'Covariance Matrix'!R29:R48)</f>
        <v>2.2438698465962137E-2</v>
      </c>
      <c r="T43" s="48" cm="1">
        <f t="array" ref="T43">MMULT($C$42:$V$42,'Covariance Matrix'!S29:S48)</f>
        <v>6.8664637389909217E-2</v>
      </c>
      <c r="U43" s="187" cm="1">
        <f t="array" ref="U43">MMULT($C$42:$V$42,'Covariance Matrix'!T29:T48)</f>
        <v>7.8047393996338879E-2</v>
      </c>
      <c r="V43" s="187" cm="1">
        <f t="array" ref="V43">MMULT($C$42:$V$42,'Covariance Matrix'!U29:U48)</f>
        <v>6.4930425987303919E-2</v>
      </c>
      <c r="W43" s="24"/>
      <c r="X43" s="24"/>
      <c r="Y43" s="24"/>
    </row>
    <row r="44" spans="1:25" ht="15.75" customHeight="1" x14ac:dyDescent="0.15">
      <c r="B44" s="10" t="s">
        <v>96</v>
      </c>
      <c r="C44" s="182">
        <f>SUM(C42:J42)</f>
        <v>0.70000000000000018</v>
      </c>
      <c r="D44" s="184"/>
      <c r="E44" s="184"/>
      <c r="F44" s="184"/>
      <c r="G44" s="184"/>
      <c r="H44" s="184"/>
      <c r="I44" s="184"/>
      <c r="J44" s="184"/>
      <c r="K44" s="46">
        <f>SUM(K42:O42)</f>
        <v>0.1</v>
      </c>
      <c r="L44" s="184"/>
      <c r="M44" s="184"/>
      <c r="N44" s="184"/>
      <c r="O44" s="184"/>
      <c r="P44" s="19">
        <f>SUM(P42:S42)</f>
        <v>0</v>
      </c>
      <c r="Q44" s="188"/>
      <c r="R44" s="184"/>
      <c r="S44" s="189"/>
      <c r="T44" s="48">
        <f>SUM(T42:V42)</f>
        <v>0.2</v>
      </c>
      <c r="U44" s="184"/>
      <c r="V44" s="184"/>
    </row>
    <row r="45" spans="1:25" ht="15.75" customHeight="1" x14ac:dyDescent="0.15">
      <c r="D45" s="181"/>
      <c r="E45" s="181"/>
      <c r="F45" s="181"/>
      <c r="G45" s="181"/>
      <c r="H45" s="181"/>
      <c r="I45" s="181"/>
      <c r="J45" s="181"/>
    </row>
    <row r="47" spans="1:25" ht="15.75" customHeight="1" x14ac:dyDescent="0.2">
      <c r="B47" s="10" t="s">
        <v>86</v>
      </c>
      <c r="C47" s="49">
        <f>SUM(C42:V42)</f>
        <v>1.0000000000000002</v>
      </c>
      <c r="G47" s="10" t="s">
        <v>87</v>
      </c>
      <c r="H47" s="10" t="s">
        <v>44</v>
      </c>
      <c r="I47" s="10" t="s">
        <v>88</v>
      </c>
      <c r="J47" s="10" t="s">
        <v>89</v>
      </c>
      <c r="R47" s="26" t="s">
        <v>77</v>
      </c>
      <c r="S47" s="12">
        <f>C42</f>
        <v>0.25057023458159683</v>
      </c>
    </row>
    <row r="48" spans="1:25" ht="15.75" customHeight="1" x14ac:dyDescent="0.2">
      <c r="B48" s="10" t="s">
        <v>90</v>
      </c>
      <c r="C48" s="16" cm="1">
        <f t="array" ref="C48">MMULT(C43:V43,S47:S66)</f>
        <v>4.9193556062576034E-2</v>
      </c>
      <c r="D48" s="10" t="s">
        <v>91</v>
      </c>
      <c r="E48" s="16">
        <f>SQRT(C48)</f>
        <v>0.22179620389577462</v>
      </c>
      <c r="G48" s="57">
        <v>0.10483440134538703</v>
      </c>
      <c r="H48" s="57">
        <v>4.947495897320222E-2</v>
      </c>
      <c r="I48" s="15">
        <v>0.10483440134538703</v>
      </c>
      <c r="J48" s="15">
        <v>4.947495897320222E-2</v>
      </c>
      <c r="R48" s="26" t="s">
        <v>76</v>
      </c>
      <c r="S48" s="12">
        <f>D42</f>
        <v>6.9081256771342386E-2</v>
      </c>
    </row>
    <row r="49" spans="2:19" ht="15.75" customHeight="1" x14ac:dyDescent="0.2">
      <c r="G49" s="57">
        <v>0.11997431307270325</v>
      </c>
      <c r="H49" s="57">
        <v>5.5E-2</v>
      </c>
      <c r="R49" s="26" t="s">
        <v>75</v>
      </c>
      <c r="S49" s="12">
        <f>E42</f>
        <v>6.5427663330285948E-2</v>
      </c>
    </row>
    <row r="50" spans="2:19" ht="15.75" customHeight="1" x14ac:dyDescent="0.2">
      <c r="B50" s="10" t="s">
        <v>44</v>
      </c>
      <c r="G50" s="57">
        <v>0.13509376643122983</v>
      </c>
      <c r="H50" s="57">
        <v>0.06</v>
      </c>
      <c r="R50" s="26" t="s">
        <v>74</v>
      </c>
      <c r="S50" s="12">
        <f>F42</f>
        <v>0.10305340843411917</v>
      </c>
    </row>
    <row r="51" spans="2:19" ht="15.75" customHeight="1" x14ac:dyDescent="0.2">
      <c r="B51" s="10" t="s">
        <v>92</v>
      </c>
      <c r="C51" s="34">
        <f>SUMPRODUCT(C42:V42,B39:U39)</f>
        <v>8.5000000169017431E-2</v>
      </c>
      <c r="G51" s="57">
        <v>0.14968070129669239</v>
      </c>
      <c r="H51" s="57">
        <v>6.5000000000000002E-2</v>
      </c>
      <c r="R51" s="26" t="s">
        <v>73</v>
      </c>
      <c r="S51" s="12">
        <f>G42</f>
        <v>5.8321967257176574E-2</v>
      </c>
    </row>
    <row r="52" spans="2:19" ht="15.75" customHeight="1" x14ac:dyDescent="0.2">
      <c r="B52" s="10" t="s">
        <v>93</v>
      </c>
      <c r="C52" s="50">
        <v>8.5000000000000006E-2</v>
      </c>
      <c r="G52" s="57">
        <v>0.16610477502921792</v>
      </c>
      <c r="H52" s="57">
        <v>7.0000000000000007E-2</v>
      </c>
      <c r="R52" s="26" t="s">
        <v>72</v>
      </c>
      <c r="S52" s="12">
        <f>H42</f>
        <v>3.3552700160244905E-2</v>
      </c>
    </row>
    <row r="53" spans="2:19" ht="15.75" customHeight="1" x14ac:dyDescent="0.2">
      <c r="B53" s="18"/>
      <c r="G53" s="57">
        <v>0.18261295888648726</v>
      </c>
      <c r="H53" s="57">
        <v>7.4999999999999997E-2</v>
      </c>
      <c r="R53" s="26" t="s">
        <v>71</v>
      </c>
      <c r="S53" s="12">
        <f>I42</f>
        <v>0.11999276946523436</v>
      </c>
    </row>
    <row r="54" spans="2:19" ht="15.75" customHeight="1" x14ac:dyDescent="0.2">
      <c r="B54" s="10" t="s">
        <v>101</v>
      </c>
      <c r="C54" s="60" t="s">
        <v>107</v>
      </c>
      <c r="D54" s="60" t="s">
        <v>84</v>
      </c>
      <c r="E54" s="60" t="s">
        <v>108</v>
      </c>
      <c r="G54" s="57">
        <v>0.20059707568225937</v>
      </c>
      <c r="H54" s="57">
        <v>0.08</v>
      </c>
      <c r="R54" s="26" t="s">
        <v>70</v>
      </c>
      <c r="S54" s="12">
        <f>J42</f>
        <v>0</v>
      </c>
    </row>
    <row r="55" spans="2:19" ht="15.75" customHeight="1" x14ac:dyDescent="0.2">
      <c r="B55" s="36" t="s">
        <v>102</v>
      </c>
      <c r="C55" s="41">
        <v>0.3</v>
      </c>
      <c r="D55" s="52" t="s">
        <v>106</v>
      </c>
      <c r="E55" s="41">
        <v>0.95</v>
      </c>
      <c r="G55" s="57">
        <v>0.22179620389577462</v>
      </c>
      <c r="H55" s="57">
        <v>8.5000000000000006E-2</v>
      </c>
      <c r="R55" s="25" t="s">
        <v>68</v>
      </c>
      <c r="S55" s="46">
        <f>K42</f>
        <v>3.7570118984646926E-2</v>
      </c>
    </row>
    <row r="56" spans="2:19" ht="15.75" customHeight="1" x14ac:dyDescent="0.2">
      <c r="B56" s="37" t="s">
        <v>103</v>
      </c>
      <c r="C56" s="53">
        <v>0.1</v>
      </c>
      <c r="D56" s="54" t="s">
        <v>106</v>
      </c>
      <c r="E56" s="53">
        <v>0.4</v>
      </c>
      <c r="G56" s="57">
        <v>0.25756701028693263</v>
      </c>
      <c r="H56" s="57">
        <v>9.3207563539922725E-2</v>
      </c>
      <c r="I56" s="10" t="s">
        <v>94</v>
      </c>
      <c r="R56" s="25" t="s">
        <v>67</v>
      </c>
      <c r="S56" s="46">
        <f>L42</f>
        <v>0</v>
      </c>
    </row>
    <row r="57" spans="2:19" ht="15.75" customHeight="1" x14ac:dyDescent="0.2">
      <c r="B57" s="38" t="s">
        <v>104</v>
      </c>
      <c r="C57" s="40">
        <v>0</v>
      </c>
      <c r="D57" s="45" t="s">
        <v>106</v>
      </c>
      <c r="E57" s="40">
        <v>0.7</v>
      </c>
      <c r="R57" s="25" t="s">
        <v>66</v>
      </c>
      <c r="S57" s="46">
        <f>M42</f>
        <v>2.2714383147914234E-2</v>
      </c>
    </row>
    <row r="58" spans="2:19" ht="15.75" customHeight="1" x14ac:dyDescent="0.2">
      <c r="B58" s="39" t="s">
        <v>105</v>
      </c>
      <c r="C58" s="55">
        <v>0</v>
      </c>
      <c r="D58" s="56" t="s">
        <v>106</v>
      </c>
      <c r="E58" s="55">
        <v>0.2</v>
      </c>
      <c r="R58" s="25" t="s">
        <v>65</v>
      </c>
      <c r="S58" s="46">
        <f>N42</f>
        <v>2.529408167339138E-2</v>
      </c>
    </row>
    <row r="59" spans="2:19" ht="15.75" customHeight="1" x14ac:dyDescent="0.2">
      <c r="B59" s="24"/>
      <c r="C59" s="24"/>
      <c r="D59" s="31"/>
      <c r="N59" s="11" t="s">
        <v>109</v>
      </c>
      <c r="R59" s="25" t="s">
        <v>64</v>
      </c>
      <c r="S59" s="46">
        <f>O42</f>
        <v>1.4421416194047465E-2</v>
      </c>
    </row>
    <row r="60" spans="2:19" ht="15.75" customHeight="1" x14ac:dyDescent="0.2">
      <c r="B60" s="24"/>
      <c r="C60" s="24"/>
      <c r="D60" s="31"/>
      <c r="R60" s="27" t="s">
        <v>62</v>
      </c>
      <c r="S60" s="19">
        <f>P42</f>
        <v>0</v>
      </c>
    </row>
    <row r="61" spans="2:19" ht="15.75" customHeight="1" x14ac:dyDescent="0.2">
      <c r="B61" s="24"/>
      <c r="C61" s="24"/>
      <c r="D61" s="31"/>
      <c r="R61" s="27" t="s">
        <v>61</v>
      </c>
      <c r="S61" s="19">
        <f>Q42</f>
        <v>0</v>
      </c>
    </row>
    <row r="62" spans="2:19" ht="15.75" customHeight="1" x14ac:dyDescent="0.2">
      <c r="B62" s="24"/>
      <c r="C62" s="24"/>
      <c r="D62" s="31"/>
      <c r="R62" s="27" t="s">
        <v>60</v>
      </c>
      <c r="S62" s="19">
        <f>R42</f>
        <v>0</v>
      </c>
    </row>
    <row r="63" spans="2:19" ht="15.75" customHeight="1" x14ac:dyDescent="0.2">
      <c r="R63" s="27" t="s">
        <v>59</v>
      </c>
      <c r="S63" s="19">
        <f>S42</f>
        <v>0</v>
      </c>
    </row>
    <row r="64" spans="2:19" ht="15.75" customHeight="1" x14ac:dyDescent="0.2">
      <c r="R64" s="28" t="s">
        <v>80</v>
      </c>
      <c r="S64" s="48">
        <f>T42</f>
        <v>7.6130387326962534E-2</v>
      </c>
    </row>
    <row r="65" spans="18:19" ht="15.75" customHeight="1" x14ac:dyDescent="0.2">
      <c r="R65" s="28" t="s">
        <v>79</v>
      </c>
      <c r="S65" s="48">
        <f>U42</f>
        <v>8.8962667571941809E-2</v>
      </c>
    </row>
    <row r="66" spans="18:19" ht="15.75" customHeight="1" x14ac:dyDescent="0.2">
      <c r="R66" s="29" t="s">
        <v>47</v>
      </c>
      <c r="S66" s="48">
        <f>V42</f>
        <v>3.4906945101095668E-2</v>
      </c>
    </row>
    <row r="67" spans="18:19" ht="15.75" customHeight="1" x14ac:dyDescent="0.2">
      <c r="R67" s="20"/>
      <c r="S67" s="31"/>
    </row>
    <row r="68" spans="18:19" ht="15.75" customHeight="1" x14ac:dyDescent="0.2">
      <c r="R68" s="20"/>
      <c r="S68" s="31"/>
    </row>
    <row r="69" spans="18:19" ht="15.75" customHeight="1" x14ac:dyDescent="0.2">
      <c r="R69" s="20"/>
      <c r="S69" s="31"/>
    </row>
  </sheetData>
  <pageMargins left="0.7" right="0.7" top="0.75" bottom="0.75" header="0.3" footer="0.3"/>
  <pageSetup orientation="portrait" horizontalDpi="0" verticalDpi="0"/>
  <ignoredErrors>
    <ignoredError sqref="P44 K44 T44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5DD8-0F21-CE43-AE16-C0542315A1B3}">
  <dimension ref="A1:AA69"/>
  <sheetViews>
    <sheetView topLeftCell="A14" zoomScale="69" zoomScaleNormal="69" workbookViewId="0">
      <selection activeCell="G47" sqref="G47:J56"/>
    </sheetView>
  </sheetViews>
  <sheetFormatPr baseColWidth="10" defaultColWidth="14.5" defaultRowHeight="15.75" customHeight="1" x14ac:dyDescent="0.15"/>
  <cols>
    <col min="1" max="1" width="14.5" style="11"/>
    <col min="2" max="2" width="20.83203125" style="11" customWidth="1"/>
    <col min="3" max="3" width="15.83203125" style="11" customWidth="1"/>
    <col min="4" max="4" width="16" style="11" customWidth="1"/>
    <col min="5" max="16384" width="14.5" style="11"/>
  </cols>
  <sheetData>
    <row r="1" spans="1:27" ht="15.75" customHeight="1" x14ac:dyDescent="0.2">
      <c r="A1" s="180" t="s">
        <v>99</v>
      </c>
      <c r="B1" s="1" t="s">
        <v>77</v>
      </c>
      <c r="C1" s="1" t="s">
        <v>76</v>
      </c>
      <c r="D1" s="1" t="s">
        <v>75</v>
      </c>
      <c r="E1" s="1" t="s">
        <v>74</v>
      </c>
      <c r="F1" s="1" t="s">
        <v>73</v>
      </c>
      <c r="G1" s="1" t="s">
        <v>72</v>
      </c>
      <c r="H1" s="1" t="s">
        <v>71</v>
      </c>
      <c r="I1" s="1" t="s">
        <v>70</v>
      </c>
      <c r="J1" s="2" t="s">
        <v>68</v>
      </c>
      <c r="K1" s="2" t="s">
        <v>67</v>
      </c>
      <c r="L1" s="2" t="s">
        <v>66</v>
      </c>
      <c r="M1" s="2" t="s">
        <v>65</v>
      </c>
      <c r="N1" s="2" t="s">
        <v>64</v>
      </c>
      <c r="O1" s="3" t="s">
        <v>62</v>
      </c>
      <c r="P1" s="3" t="s">
        <v>61</v>
      </c>
      <c r="Q1" s="3" t="s">
        <v>60</v>
      </c>
      <c r="R1" s="3" t="s">
        <v>59</v>
      </c>
      <c r="S1" s="4" t="s">
        <v>80</v>
      </c>
      <c r="T1" s="4" t="s">
        <v>79</v>
      </c>
      <c r="U1" s="4" t="s">
        <v>47</v>
      </c>
      <c r="V1" s="20"/>
      <c r="W1" s="33" t="s">
        <v>46</v>
      </c>
      <c r="X1" s="20"/>
      <c r="Y1" s="20"/>
      <c r="Z1" s="20"/>
      <c r="AA1" s="20"/>
    </row>
    <row r="2" spans="1:27" ht="15.75" customHeight="1" x14ac:dyDescent="0.2">
      <c r="A2" s="180" t="s">
        <v>98</v>
      </c>
      <c r="B2" s="5">
        <v>2.013564167484019E-2</v>
      </c>
      <c r="C2" s="5">
        <v>2.3392871692271392E-2</v>
      </c>
      <c r="D2" s="5">
        <v>2.1898284278740424E-2</v>
      </c>
      <c r="E2" s="5">
        <v>2.6663219709673881E-2</v>
      </c>
      <c r="F2" s="5">
        <v>-5.9279467113460861E-3</v>
      </c>
      <c r="G2" s="5">
        <v>3.5551052506718001E-2</v>
      </c>
      <c r="H2" s="5">
        <v>2.3273062168987967E-2</v>
      </c>
      <c r="I2" s="5">
        <v>6.527319652524223E-2</v>
      </c>
      <c r="J2" s="6">
        <v>5.2099207728434852E-3</v>
      </c>
      <c r="K2" s="6">
        <v>4.8335783581300716E-2</v>
      </c>
      <c r="L2" s="6">
        <v>7.4349554466937445E-3</v>
      </c>
      <c r="M2" s="6">
        <v>-3.3727917144269234E-3</v>
      </c>
      <c r="N2" s="6">
        <v>8.8539492433403772E-3</v>
      </c>
      <c r="O2" s="7">
        <v>5.2842108199068058E-3</v>
      </c>
      <c r="P2" s="7">
        <v>-7.0507258737831837E-3</v>
      </c>
      <c r="Q2" s="7">
        <v>-1.2940664358544986E-2</v>
      </c>
      <c r="R2" s="7">
        <v>-1.7561314937973665E-2</v>
      </c>
      <c r="S2" s="8">
        <v>1.0113430765119761E-2</v>
      </c>
      <c r="T2" s="8">
        <v>-1.7080732033257742E-2</v>
      </c>
      <c r="U2" s="8">
        <v>3.203546691905889E-2</v>
      </c>
      <c r="V2" s="21"/>
      <c r="W2" s="32">
        <v>1.7859381799140144E-2</v>
      </c>
      <c r="X2" s="21"/>
      <c r="Y2" s="21"/>
      <c r="Z2" s="22"/>
      <c r="AA2" s="20"/>
    </row>
    <row r="3" spans="1:27" ht="15.75" customHeight="1" x14ac:dyDescent="0.2">
      <c r="B3" s="5">
        <v>-9.1761054711402529E-2</v>
      </c>
      <c r="C3" s="5">
        <v>-9.8025633086891856E-2</v>
      </c>
      <c r="D3" s="5">
        <v>-0.111121121519608</v>
      </c>
      <c r="E3" s="5">
        <v>-9.0855570486977691E-2</v>
      </c>
      <c r="F3" s="5">
        <v>-0.11052319159627597</v>
      </c>
      <c r="G3" s="5">
        <v>-8.664754630560538E-2</v>
      </c>
      <c r="H3" s="5">
        <v>-8.8754558392168559E-2</v>
      </c>
      <c r="I3" s="5">
        <v>-9.1387838867146479E-2</v>
      </c>
      <c r="J3" s="6">
        <v>-5.4022923286427611E-2</v>
      </c>
      <c r="K3" s="6">
        <v>-3.3449906350072708E-2</v>
      </c>
      <c r="L3" s="6">
        <v>-5.0489939124240782E-2</v>
      </c>
      <c r="M3" s="6">
        <v>-6.2857087717331298E-2</v>
      </c>
      <c r="N3" s="6">
        <v>-4.1566704060379288E-2</v>
      </c>
      <c r="O3" s="7">
        <v>1.5302993520493425E-2</v>
      </c>
      <c r="P3" s="7">
        <v>-2.1294341324950856E-2</v>
      </c>
      <c r="Q3" s="7">
        <v>1.3770780711394507E-2</v>
      </c>
      <c r="R3" s="7">
        <v>9.2931442891963853E-3</v>
      </c>
      <c r="S3" s="8">
        <v>-9.5157767906625015E-2</v>
      </c>
      <c r="T3" s="8">
        <v>-8.2211878412080927E-2</v>
      </c>
      <c r="U3" s="8">
        <v>-4.4112867484118745E-2</v>
      </c>
      <c r="V3" s="21"/>
      <c r="W3" s="32">
        <v>-9.1776955767217297E-2</v>
      </c>
      <c r="X3" s="20"/>
      <c r="Y3" s="20"/>
      <c r="Z3" s="20"/>
      <c r="AA3" s="20"/>
    </row>
    <row r="4" spans="1:27" ht="15.75" customHeight="1" x14ac:dyDescent="0.2">
      <c r="B4" s="5">
        <v>8.5402381100873351E-2</v>
      </c>
      <c r="C4" s="5">
        <v>0.10471827075701169</v>
      </c>
      <c r="D4" s="5">
        <v>0.11712964599857797</v>
      </c>
      <c r="E4" s="5">
        <v>9.4755476096627003E-2</v>
      </c>
      <c r="F4" s="5">
        <v>9.8387497782781441E-2</v>
      </c>
      <c r="G4" s="5">
        <v>6.1033573948521679E-2</v>
      </c>
      <c r="H4" s="5">
        <v>0.10085121658195075</v>
      </c>
      <c r="I4" s="5">
        <v>5.9340364897329592E-2</v>
      </c>
      <c r="J4" s="6">
        <v>7.1957530335474681E-2</v>
      </c>
      <c r="K4" s="6">
        <v>9.658782690288524E-2</v>
      </c>
      <c r="L4" s="6">
        <v>6.1676722474561976E-2</v>
      </c>
      <c r="M4" s="6">
        <v>8.0475471575996244E-2</v>
      </c>
      <c r="N4" s="6">
        <v>7.0375171097518854E-2</v>
      </c>
      <c r="O4" s="7">
        <v>1.5530912169783188E-2</v>
      </c>
      <c r="P4" s="7">
        <v>4.9409076645030983E-2</v>
      </c>
      <c r="Q4" s="7">
        <v>2.918282012659373E-2</v>
      </c>
      <c r="R4" s="7">
        <v>2.3395434307152789E-2</v>
      </c>
      <c r="S4" s="8">
        <v>7.1385125370777236E-2</v>
      </c>
      <c r="T4" s="8">
        <v>0.14658666529834194</v>
      </c>
      <c r="U4" s="8">
        <v>0.14164603324469791</v>
      </c>
      <c r="V4" s="20"/>
      <c r="W4" s="32">
        <v>7.8684404731036967E-2</v>
      </c>
      <c r="X4" s="21"/>
      <c r="Y4" s="20"/>
      <c r="Z4" s="20"/>
      <c r="AA4" s="20"/>
    </row>
    <row r="5" spans="1:27" ht="15.75" customHeight="1" x14ac:dyDescent="0.2">
      <c r="B5" s="5">
        <v>3.5587944660296397E-2</v>
      </c>
      <c r="C5" s="5">
        <v>4.2581103367740271E-2</v>
      </c>
      <c r="D5" s="5">
        <v>4.8559230839563469E-2</v>
      </c>
      <c r="E5" s="5">
        <v>4.4093867518441299E-2</v>
      </c>
      <c r="F5" s="5">
        <v>1.8943670213298042E-2</v>
      </c>
      <c r="G5" s="5">
        <v>3.7703857341636053E-2</v>
      </c>
      <c r="H5" s="5">
        <v>1.5026780805780347E-2</v>
      </c>
      <c r="I5" s="5">
        <v>1.639897794929282E-2</v>
      </c>
      <c r="J5" s="6">
        <v>2.4021044599120564E-2</v>
      </c>
      <c r="K5" s="6">
        <v>-3.8296917194582856E-3</v>
      </c>
      <c r="L5" s="6">
        <v>3.3410483387431564E-2</v>
      </c>
      <c r="M5" s="6">
        <v>5.9243426725115716E-3</v>
      </c>
      <c r="N5" s="6">
        <v>1.5606851488399187E-2</v>
      </c>
      <c r="O5" s="7">
        <v>1.035134592723777E-3</v>
      </c>
      <c r="P5" s="7">
        <v>1.5010679796632722E-2</v>
      </c>
      <c r="Q5" s="7">
        <v>6.008247994884682E-3</v>
      </c>
      <c r="R5" s="7">
        <v>1.2340873073822227E-2</v>
      </c>
      <c r="S5" s="8">
        <v>5.0279690438092273E-2</v>
      </c>
      <c r="T5" s="8">
        <v>-4.1103701429796094E-2</v>
      </c>
      <c r="U5" s="8">
        <v>4.6414171231020365E-3</v>
      </c>
      <c r="V5" s="21"/>
      <c r="W5" s="32">
        <v>2.9728930143115964E-2</v>
      </c>
      <c r="X5" s="20"/>
      <c r="Y5" s="20"/>
      <c r="Z5" s="20"/>
      <c r="AA5" s="20"/>
    </row>
    <row r="6" spans="1:27" ht="15.75" customHeight="1" x14ac:dyDescent="0.2">
      <c r="B6" s="5">
        <v>1.4167672941832592E-2</v>
      </c>
      <c r="C6" s="5">
        <v>1.3529286926994814E-2</v>
      </c>
      <c r="D6" s="5">
        <v>-8.5803285638009312E-3</v>
      </c>
      <c r="E6" s="5">
        <v>1.6683683083300791E-2</v>
      </c>
      <c r="F6" s="5">
        <v>-9.5208703052639728E-3</v>
      </c>
      <c r="G6" s="5">
        <v>5.2353703452140002E-3</v>
      </c>
      <c r="H6" s="5">
        <v>2.7674922719434118E-2</v>
      </c>
      <c r="I6" s="5">
        <v>3.8264212119637903E-3</v>
      </c>
      <c r="J6" s="6">
        <v>6.1055865536391975E-3</v>
      </c>
      <c r="K6" s="6">
        <v>2.3148305876547183E-2</v>
      </c>
      <c r="L6" s="6">
        <v>2.2037337734516962E-2</v>
      </c>
      <c r="M6" s="6">
        <v>-7.5698963537734146E-4</v>
      </c>
      <c r="N6" s="6">
        <v>2.1617996681226564E-3</v>
      </c>
      <c r="O6" s="7">
        <v>1.9336132465499756E-2</v>
      </c>
      <c r="P6" s="7">
        <v>9.9693848557190351E-3</v>
      </c>
      <c r="Q6" s="7">
        <v>7.8449641737626079E-3</v>
      </c>
      <c r="R6" s="7">
        <v>-3.9967891079185263E-3</v>
      </c>
      <c r="S6" s="8">
        <v>1.2047566110169279E-2</v>
      </c>
      <c r="T6" s="8">
        <v>1.6050624569280646E-3</v>
      </c>
      <c r="U6" s="8">
        <v>4.1976312833832484E-2</v>
      </c>
      <c r="V6" s="21"/>
      <c r="W6" s="32">
        <v>1.7924287751078408E-2</v>
      </c>
      <c r="X6" s="20"/>
      <c r="Y6" s="20"/>
      <c r="Z6" s="20"/>
      <c r="AA6" s="20"/>
    </row>
    <row r="7" spans="1:27" ht="15.75" customHeight="1" x14ac:dyDescent="0.2">
      <c r="B7" s="5">
        <v>3.9250790414816508E-2</v>
      </c>
      <c r="C7" s="5">
        <v>3.7137855019863067E-2</v>
      </c>
      <c r="D7" s="5">
        <v>3.5863902683246851E-2</v>
      </c>
      <c r="E7" s="5">
        <v>0.14328428269882471</v>
      </c>
      <c r="F7" s="5">
        <v>3.4184582552419338E-2</v>
      </c>
      <c r="G7" s="5">
        <v>2.8367843981603046E-2</v>
      </c>
      <c r="H7" s="5">
        <v>5.1041046780850093E-2</v>
      </c>
      <c r="I7" s="5">
        <v>-2.6959033749335878E-2</v>
      </c>
      <c r="J7" s="6">
        <v>2.8744582514147958E-2</v>
      </c>
      <c r="K7" s="6">
        <v>2.1411963606725121E-2</v>
      </c>
      <c r="L7" s="6">
        <v>3.4990613913253879E-2</v>
      </c>
      <c r="M7" s="6">
        <v>1.7177449901737953E-2</v>
      </c>
      <c r="N7" s="6">
        <v>2.8425960344369925E-2</v>
      </c>
      <c r="O7" s="7">
        <v>2.4170414193380833E-3</v>
      </c>
      <c r="P7" s="7">
        <v>1.4951046181946643E-2</v>
      </c>
      <c r="Q7" s="7">
        <v>-2.2520301795710289E-4</v>
      </c>
      <c r="R7" s="7">
        <v>1.2038482599886966E-2</v>
      </c>
      <c r="S7" s="8">
        <v>-2.8668156457547191E-2</v>
      </c>
      <c r="T7" s="8">
        <v>3.9923455211362105E-2</v>
      </c>
      <c r="U7" s="8">
        <v>-5.3730284452076608E-3</v>
      </c>
      <c r="V7" s="23"/>
      <c r="W7" s="32">
        <v>3.9313434942139368E-2</v>
      </c>
      <c r="X7" s="23"/>
      <c r="Y7" s="23"/>
      <c r="Z7" s="23"/>
      <c r="AA7" s="23"/>
    </row>
    <row r="8" spans="1:27" ht="15.75" customHeight="1" x14ac:dyDescent="0.2">
      <c r="B8" s="5">
        <v>-6.4498856732394999E-2</v>
      </c>
      <c r="C8" s="5">
        <v>-6.0580455730529635E-2</v>
      </c>
      <c r="D8" s="5">
        <v>-7.1771422450588415E-2</v>
      </c>
      <c r="E8" s="5">
        <v>-6.0694927021616892E-2</v>
      </c>
      <c r="F8" s="5">
        <v>-9.6016367541524386E-2</v>
      </c>
      <c r="G8" s="5">
        <v>-6.3117328211804727E-2</v>
      </c>
      <c r="H8" s="5">
        <v>-7.896937122383875E-2</v>
      </c>
      <c r="I8" s="5">
        <v>-2.6753652315065359E-2</v>
      </c>
      <c r="J8" s="6">
        <v>-5.2157621775577728E-2</v>
      </c>
      <c r="K8" s="6">
        <v>-6.3810271080476461E-2</v>
      </c>
      <c r="L8" s="6">
        <v>-4.2040942913598126E-2</v>
      </c>
      <c r="M8" s="6">
        <v>-7.3675847575170428E-2</v>
      </c>
      <c r="N8" s="6">
        <v>-5.3363197664096633E-2</v>
      </c>
      <c r="O8" s="7">
        <v>1.509714457963395E-2</v>
      </c>
      <c r="P8" s="7">
        <v>-1.0827392435436557E-2</v>
      </c>
      <c r="Q8" s="7">
        <v>-1.0945911881208078E-2</v>
      </c>
      <c r="R8" s="7">
        <v>-1.9230847526081136E-2</v>
      </c>
      <c r="S8" s="8">
        <v>-7.0668175664731103E-2</v>
      </c>
      <c r="T8" s="8">
        <v>-0.15962949971055712</v>
      </c>
      <c r="U8" s="8">
        <v>2.7010606883397258E-2</v>
      </c>
      <c r="V8" s="24"/>
      <c r="W8" s="32">
        <v>-6.5777726481161508E-2</v>
      </c>
      <c r="X8" s="24"/>
      <c r="Y8" s="24"/>
      <c r="Z8" s="24"/>
      <c r="AA8" s="24"/>
    </row>
    <row r="9" spans="1:27" ht="15.75" customHeight="1" x14ac:dyDescent="0.2">
      <c r="B9" s="5">
        <v>7.0780583375414888E-2</v>
      </c>
      <c r="C9" s="5">
        <v>7.1010116822367894E-2</v>
      </c>
      <c r="D9" s="5">
        <v>6.9689174222583736E-2</v>
      </c>
      <c r="E9" s="5">
        <v>7.3475490591439568E-2</v>
      </c>
      <c r="F9" s="5">
        <v>9.569794509845253E-2</v>
      </c>
      <c r="G9" s="5">
        <v>6.6443621138674885E-2</v>
      </c>
      <c r="H9" s="5">
        <v>7.7568828117611371E-2</v>
      </c>
      <c r="I9" s="5">
        <v>7.1989839001029898E-2</v>
      </c>
      <c r="J9" s="6">
        <v>5.9591161251872818E-2</v>
      </c>
      <c r="K9" s="6">
        <v>5.3718491551580809E-2</v>
      </c>
      <c r="L9" s="6">
        <v>6.485794735014512E-2</v>
      </c>
      <c r="M9" s="6">
        <v>5.2624997005342539E-2</v>
      </c>
      <c r="N9" s="6">
        <v>5.3720490995725387E-2</v>
      </c>
      <c r="O9" s="7">
        <v>1.4776505904973687E-2</v>
      </c>
      <c r="P9" s="7">
        <v>2.7245509098725054E-2</v>
      </c>
      <c r="Q9" s="7">
        <v>3.3051182766878365E-2</v>
      </c>
      <c r="R9" s="7">
        <v>3.9417804316777924E-2</v>
      </c>
      <c r="S9" s="8">
        <v>7.0140348077603207E-2</v>
      </c>
      <c r="T9" s="8">
        <v>0.15206270132200655</v>
      </c>
      <c r="U9" s="8">
        <v>-2.0317144222260743E-2</v>
      </c>
      <c r="V9" s="24"/>
      <c r="W9" s="32">
        <v>6.8930183208215035E-2</v>
      </c>
      <c r="X9" s="24"/>
      <c r="Y9" s="24"/>
      <c r="Z9" s="24"/>
      <c r="AA9" s="24"/>
    </row>
    <row r="10" spans="1:27" ht="15.75" customHeight="1" x14ac:dyDescent="0.2">
      <c r="B10" s="5">
        <v>1.4125120060408771E-2</v>
      </c>
      <c r="C10" s="5">
        <v>1.3101356213947079E-2</v>
      </c>
      <c r="D10" s="5">
        <v>1.2000213126626776E-2</v>
      </c>
      <c r="E10" s="5">
        <v>1.2621592340825227E-2</v>
      </c>
      <c r="F10" s="5">
        <v>1.6011971528405174E-2</v>
      </c>
      <c r="G10" s="5">
        <v>7.2099111710274234E-3</v>
      </c>
      <c r="H10" s="5">
        <v>1.1595048098576009E-2</v>
      </c>
      <c r="I10" s="5">
        <v>-1.3050309898924951E-2</v>
      </c>
      <c r="J10" s="6">
        <v>-1.9632322285874269E-2</v>
      </c>
      <c r="K10" s="6">
        <v>-1.8104648699965222E-2</v>
      </c>
      <c r="L10" s="6">
        <v>-1.1390357727471431E-2</v>
      </c>
      <c r="M10" s="6">
        <v>-2.082406830410934E-2</v>
      </c>
      <c r="N10" s="6">
        <v>-2.6881810109430242E-2</v>
      </c>
      <c r="O10" s="7">
        <v>2.3571246723555306E-3</v>
      </c>
      <c r="P10" s="7">
        <v>4.4564918197423937E-3</v>
      </c>
      <c r="Q10" s="7">
        <v>-1.3418341127945224E-2</v>
      </c>
      <c r="R10" s="7">
        <v>-1.9642119010106238E-2</v>
      </c>
      <c r="S10" s="8">
        <v>-2.2288070662231551E-2</v>
      </c>
      <c r="T10" s="8">
        <v>-7.2549338467662552E-2</v>
      </c>
      <c r="U10" s="8">
        <v>3.0732143989962758E-2</v>
      </c>
      <c r="V10" s="24"/>
      <c r="W10" s="32">
        <v>1.312819536603934E-2</v>
      </c>
      <c r="X10" s="24"/>
      <c r="Y10" s="24"/>
      <c r="Z10" s="20"/>
      <c r="AA10" s="20"/>
    </row>
    <row r="11" spans="1:27" ht="15.75" customHeight="1" x14ac:dyDescent="0.2">
      <c r="B11" s="5">
        <v>-2.0826770418676366E-2</v>
      </c>
      <c r="C11" s="5">
        <v>-2.7576176980503634E-2</v>
      </c>
      <c r="D11" s="5">
        <v>-3.9674584943703711E-2</v>
      </c>
      <c r="E11" s="5">
        <v>-1.6778580076827278E-2</v>
      </c>
      <c r="F11" s="5">
        <v>-4.5217683298285266E-2</v>
      </c>
      <c r="G11" s="5">
        <v>-2.1020431344274001E-2</v>
      </c>
      <c r="H11" s="5">
        <v>-1.7358461272383031E-2</v>
      </c>
      <c r="I11" s="5">
        <v>-1.1767143401925887E-2</v>
      </c>
      <c r="J11" s="6">
        <v>-1.8753707209999797E-2</v>
      </c>
      <c r="K11" s="6">
        <v>-3.2567109888594091E-2</v>
      </c>
      <c r="L11" s="6">
        <v>-5.5103325628759964E-3</v>
      </c>
      <c r="M11" s="6">
        <v>-3.5445042217287372E-2</v>
      </c>
      <c r="N11" s="6">
        <v>-3.4488336093239064E-2</v>
      </c>
      <c r="O11" s="7">
        <v>2.324590463706545E-2</v>
      </c>
      <c r="P11" s="7">
        <v>9.5835561104707489E-3</v>
      </c>
      <c r="Q11" s="7">
        <v>8.8005907760509844E-3</v>
      </c>
      <c r="R11" s="7">
        <v>3.9678611395260272E-4</v>
      </c>
      <c r="S11" s="8">
        <v>-7.2789109683028944E-2</v>
      </c>
      <c r="T11" s="8">
        <v>4.5102441956623378E-2</v>
      </c>
      <c r="U11" s="8">
        <v>0.103770909106303</v>
      </c>
      <c r="W11" s="32">
        <v>-1.8091652742267789E-2</v>
      </c>
    </row>
    <row r="12" spans="1:27" ht="15.75" customHeight="1" x14ac:dyDescent="0.2">
      <c r="B12" s="5">
        <v>1.7792803771508825E-2</v>
      </c>
      <c r="C12" s="5">
        <v>2.0970813239814031E-2</v>
      </c>
      <c r="D12" s="5">
        <v>1.3667671114937685E-2</v>
      </c>
      <c r="E12" s="5">
        <v>-1.2189368597197553E-2</v>
      </c>
      <c r="F12" s="5">
        <v>4.8549395891545125E-2</v>
      </c>
      <c r="G12" s="5">
        <v>3.8954588304293922E-2</v>
      </c>
      <c r="H12" s="5">
        <v>1.3397384884376088E-2</v>
      </c>
      <c r="I12" s="5">
        <v>-7.9013047909181656E-3</v>
      </c>
      <c r="J12" s="6">
        <v>3.2069732876880711E-2</v>
      </c>
      <c r="K12" s="6">
        <v>9.109080194273542E-3</v>
      </c>
      <c r="L12" s="6">
        <v>1.3852225901488211E-2</v>
      </c>
      <c r="M12" s="6">
        <v>4.685317651186615E-2</v>
      </c>
      <c r="N12" s="6">
        <v>4.1206643633801228E-2</v>
      </c>
      <c r="O12" s="7">
        <v>-3.866576837758766E-3</v>
      </c>
      <c r="P12" s="7">
        <v>4.2625336091215854E-3</v>
      </c>
      <c r="Q12" s="7">
        <v>-7.9514433206052601E-3</v>
      </c>
      <c r="R12" s="7">
        <v>-9.3199608909405596E-3</v>
      </c>
      <c r="S12" s="8">
        <v>4.3523101536119248E-2</v>
      </c>
      <c r="T12" s="8">
        <v>6.2331577714743465E-2</v>
      </c>
      <c r="U12" s="8">
        <v>-6.1660720881550189E-5</v>
      </c>
      <c r="W12" s="32">
        <v>1.7181167690656883E-2</v>
      </c>
    </row>
    <row r="13" spans="1:27" ht="15.75" customHeight="1" x14ac:dyDescent="0.2">
      <c r="B13" s="5">
        <v>2.1060071251610458E-2</v>
      </c>
      <c r="C13" s="5">
        <v>1.1098214643067017E-2</v>
      </c>
      <c r="D13" s="5">
        <v>1.650484334821695E-2</v>
      </c>
      <c r="E13" s="5">
        <v>2.5419733448725831E-2</v>
      </c>
      <c r="F13" s="5">
        <v>2.8400774248799623E-2</v>
      </c>
      <c r="G13" s="5">
        <v>1.0481276068404115E-2</v>
      </c>
      <c r="H13" s="5">
        <v>7.1065244979634373E-3</v>
      </c>
      <c r="I13" s="5">
        <v>4.7829498532662766E-2</v>
      </c>
      <c r="J13" s="6">
        <v>3.1387585204588689E-2</v>
      </c>
      <c r="K13" s="6">
        <v>3.9493334461624854E-2</v>
      </c>
      <c r="L13" s="6">
        <v>3.2666690748798348E-2</v>
      </c>
      <c r="M13" s="6">
        <v>3.905205144696311E-2</v>
      </c>
      <c r="N13" s="6">
        <v>3.3002220959736102E-2</v>
      </c>
      <c r="O13" s="7">
        <v>4.5210736947901191E-3</v>
      </c>
      <c r="P13" s="7">
        <v>6.1315843934347898E-3</v>
      </c>
      <c r="Q13" s="7">
        <v>2.5883421174265991E-2</v>
      </c>
      <c r="R13" s="7">
        <v>2.3418803770125965E-2</v>
      </c>
      <c r="S13" s="8">
        <v>-2.9235911602437686E-2</v>
      </c>
      <c r="T13" s="8">
        <v>0.10053295731235834</v>
      </c>
      <c r="U13" s="8">
        <v>8.2598301068625465E-2</v>
      </c>
      <c r="W13" s="32">
        <v>2.0431747482144953E-2</v>
      </c>
    </row>
    <row r="14" spans="1:27" ht="15.75" customHeight="1" x14ac:dyDescent="0.2">
      <c r="B14" s="5">
        <v>3.7877539095742256E-2</v>
      </c>
      <c r="C14" s="5">
        <v>3.221971792902744E-2</v>
      </c>
      <c r="D14" s="5">
        <v>4.1999843661628573E-2</v>
      </c>
      <c r="E14" s="5">
        <v>5.1263509694157924E-2</v>
      </c>
      <c r="F14" s="5">
        <v>3.6979920469634379E-2</v>
      </c>
      <c r="G14" s="5">
        <v>2.3421917622440485E-2</v>
      </c>
      <c r="H14" s="5">
        <v>1.863298182348026E-2</v>
      </c>
      <c r="I14" s="5">
        <v>6.1297776904806651E-2</v>
      </c>
      <c r="J14" s="6">
        <v>1.247704408690329E-2</v>
      </c>
      <c r="K14" s="6">
        <v>5.0178265883753072E-3</v>
      </c>
      <c r="L14" s="6">
        <v>1.8041808841666191E-2</v>
      </c>
      <c r="M14" s="6">
        <v>1.3175886138934143E-2</v>
      </c>
      <c r="N14" s="6">
        <v>7.3350212849422362E-3</v>
      </c>
      <c r="O14" s="7">
        <v>-3.60037310129914E-4</v>
      </c>
      <c r="P14" s="7">
        <v>5.9503642607866662E-3</v>
      </c>
      <c r="Q14" s="7">
        <v>-7.7801685938253427E-3</v>
      </c>
      <c r="R14" s="7">
        <v>-9.7779586056379129E-4</v>
      </c>
      <c r="S14" s="8">
        <v>4.1592632069383163E-2</v>
      </c>
      <c r="T14" s="8">
        <v>3.1100432461244453E-2</v>
      </c>
      <c r="U14" s="8">
        <v>5.1849720025138307E-3</v>
      </c>
      <c r="W14" s="32">
        <v>3.4047064090915104E-2</v>
      </c>
    </row>
    <row r="15" spans="1:27" ht="15.75" customHeight="1" x14ac:dyDescent="0.2">
      <c r="B15" s="5">
        <v>2.8041389667045211E-2</v>
      </c>
      <c r="C15" s="5">
        <v>2.4321878303881602E-2</v>
      </c>
      <c r="D15" s="5">
        <v>2.1668346701112038E-2</v>
      </c>
      <c r="E15" s="5">
        <v>2.5204759712427183E-2</v>
      </c>
      <c r="F15" s="5">
        <v>3.2663490073820321E-2</v>
      </c>
      <c r="G15" s="5">
        <v>2.9742132021235251E-2</v>
      </c>
      <c r="H15" s="5">
        <v>2.9586026942611404E-2</v>
      </c>
      <c r="I15" s="5">
        <v>3.2185232534889988E-2</v>
      </c>
      <c r="J15" s="6">
        <v>3.3416008261788831E-2</v>
      </c>
      <c r="K15" s="6">
        <v>7.0688835771970077E-2</v>
      </c>
      <c r="L15" s="6">
        <v>2.7517374774765971E-2</v>
      </c>
      <c r="M15" s="6">
        <v>3.1026434590492764E-2</v>
      </c>
      <c r="N15" s="6">
        <v>4.1150721772297824E-2</v>
      </c>
      <c r="O15" s="7">
        <v>6.1363222957752411E-4</v>
      </c>
      <c r="P15" s="7">
        <v>1.2871469350270335E-2</v>
      </c>
      <c r="Q15" s="7">
        <v>2.1094837064463606E-2</v>
      </c>
      <c r="R15" s="7">
        <v>2.6928468823635129E-2</v>
      </c>
      <c r="S15" s="8">
        <v>4.5998080927390349E-2</v>
      </c>
      <c r="T15" s="8">
        <v>1.6209154602986973E-2</v>
      </c>
      <c r="U15" s="8">
        <v>-7.6517718407182939E-2</v>
      </c>
      <c r="W15" s="32">
        <v>2.8589803182446302E-2</v>
      </c>
    </row>
    <row r="16" spans="1:27" ht="15.75" customHeight="1" x14ac:dyDescent="0.2">
      <c r="B16" s="5">
        <v>-6.1105731127258413E-4</v>
      </c>
      <c r="C16" s="5">
        <v>-2.4691841555212818E-3</v>
      </c>
      <c r="D16" s="5">
        <v>-2.0164144117572638E-2</v>
      </c>
      <c r="E16" s="5">
        <v>4.416539272615206E-2</v>
      </c>
      <c r="F16" s="5">
        <v>-3.7779959166641106E-2</v>
      </c>
      <c r="G16" s="5">
        <v>-2.5077215237170183E-2</v>
      </c>
      <c r="H16" s="5">
        <v>1.2032467909529599E-2</v>
      </c>
      <c r="I16" s="5">
        <v>-2.4981816221904509E-2</v>
      </c>
      <c r="J16" s="6">
        <v>-2.8546065310615504E-2</v>
      </c>
      <c r="K16" s="6">
        <v>-5.5318388833303984E-2</v>
      </c>
      <c r="L16" s="6">
        <v>-1.2952260558035293E-2</v>
      </c>
      <c r="M16" s="6">
        <v>-4.5547821734722903E-2</v>
      </c>
      <c r="N16" s="6">
        <v>-4.217599716041797E-2</v>
      </c>
      <c r="O16" s="7">
        <v>1.9302207280758796E-2</v>
      </c>
      <c r="P16" s="7">
        <v>8.5637549112575577E-4</v>
      </c>
      <c r="Q16" s="7">
        <v>1.1140853999206099E-2</v>
      </c>
      <c r="R16" s="7">
        <v>-1.2926875722180705E-2</v>
      </c>
      <c r="S16" s="8">
        <v>-0.10227758627373518</v>
      </c>
      <c r="T16" s="8">
        <v>-2.8419131937397122E-2</v>
      </c>
      <c r="U16" s="8">
        <v>5.3974323441955289E-2</v>
      </c>
      <c r="W16" s="32">
        <v>-1.6280898111292685E-3</v>
      </c>
    </row>
    <row r="17" spans="2:23" ht="15.75" customHeight="1" x14ac:dyDescent="0.2">
      <c r="B17" s="5">
        <v>-7.998999590913114E-2</v>
      </c>
      <c r="C17" s="5">
        <v>-8.7712784814950276E-2</v>
      </c>
      <c r="D17" s="5">
        <v>-8.5335995012500179E-2</v>
      </c>
      <c r="E17" s="5">
        <v>-5.7880548757961461E-2</v>
      </c>
      <c r="F17" s="5">
        <v>-9.6363321048157216E-2</v>
      </c>
      <c r="G17" s="5">
        <v>-9.6979133281337143E-2</v>
      </c>
      <c r="H17" s="5">
        <v>-7.5771655996478032E-2</v>
      </c>
      <c r="I17" s="5">
        <v>-6.2369568536961947E-2</v>
      </c>
      <c r="J17" s="6">
        <v>-7.376808305064475E-2</v>
      </c>
      <c r="K17" s="6">
        <v>-3.5467461363219002E-2</v>
      </c>
      <c r="L17" s="6">
        <v>-7.1470545500353949E-2</v>
      </c>
      <c r="M17" s="6">
        <v>-8.4264869395340683E-2</v>
      </c>
      <c r="N17" s="6">
        <v>-7.6935676010631324E-2</v>
      </c>
      <c r="O17" s="7">
        <v>1.5019716420655796E-2</v>
      </c>
      <c r="P17" s="7">
        <v>-7.9170100977825307E-3</v>
      </c>
      <c r="Q17" s="7">
        <v>-2.0801264484701244E-2</v>
      </c>
      <c r="R17" s="7">
        <v>-2.6583403072212436E-2</v>
      </c>
      <c r="S17" s="8">
        <v>-0.15271709049996138</v>
      </c>
      <c r="T17" s="8">
        <v>-2.6868126144929495E-2</v>
      </c>
      <c r="U17" s="8">
        <v>-0.16280268218871585</v>
      </c>
      <c r="W17" s="32">
        <v>-8.4110469009648109E-2</v>
      </c>
    </row>
    <row r="18" spans="2:23" ht="15.75" customHeight="1" x14ac:dyDescent="0.2">
      <c r="B18" s="5">
        <v>-0.13885729858878443</v>
      </c>
      <c r="C18" s="5">
        <v>-0.18401800502910445</v>
      </c>
      <c r="D18" s="5">
        <v>-0.21959793701577809</v>
      </c>
      <c r="E18" s="5">
        <v>-0.10562386259020962</v>
      </c>
      <c r="F18" s="5">
        <v>-0.18320358560571914</v>
      </c>
      <c r="G18" s="5">
        <v>-0.13620679154221108</v>
      </c>
      <c r="H18" s="5">
        <v>-0.17802616692292064</v>
      </c>
      <c r="I18" s="5">
        <v>-5.0038146038328228E-2</v>
      </c>
      <c r="J18" s="6">
        <v>-0.14606730468748663</v>
      </c>
      <c r="K18" s="6">
        <v>-0.17046807468161296</v>
      </c>
      <c r="L18" s="6">
        <v>-0.10271290640535859</v>
      </c>
      <c r="M18" s="6">
        <v>-0.17370867184538957</v>
      </c>
      <c r="N18" s="6">
        <v>-0.19137624745037135</v>
      </c>
      <c r="O18" s="7">
        <v>-1.7170301629941424E-2</v>
      </c>
      <c r="P18" s="7">
        <v>-9.9614203009516608E-2</v>
      </c>
      <c r="Q18" s="7">
        <v>-8.6152833635802645E-2</v>
      </c>
      <c r="R18" s="7">
        <v>-0.13112454340062382</v>
      </c>
      <c r="S18" s="8">
        <v>-0.28315201276541851</v>
      </c>
      <c r="T18" s="8">
        <v>-0.37002808476248733</v>
      </c>
      <c r="U18" s="8">
        <v>-0.43863664040555556</v>
      </c>
      <c r="W18" s="32">
        <v>-0.12511932083595659</v>
      </c>
    </row>
    <row r="19" spans="2:23" ht="15.75" customHeight="1" x14ac:dyDescent="0.2">
      <c r="B19" s="5">
        <v>0.13133168671010062</v>
      </c>
      <c r="C19" s="5">
        <v>0.14234743502831879</v>
      </c>
      <c r="D19" s="5">
        <v>0.14553040047569396</v>
      </c>
      <c r="E19" s="5">
        <v>0.1709379943920708</v>
      </c>
      <c r="F19" s="5">
        <v>0.11079364573394278</v>
      </c>
      <c r="G19" s="5">
        <v>0.10261473990279806</v>
      </c>
      <c r="H19" s="5">
        <v>0.21926459346388438</v>
      </c>
      <c r="I19" s="5">
        <v>0.13444510670197793</v>
      </c>
      <c r="J19" s="6">
        <v>6.23066212408247E-2</v>
      </c>
      <c r="K19" s="6">
        <v>7.8092640829581034E-2</v>
      </c>
      <c r="L19" s="6">
        <v>6.9188707943765804E-2</v>
      </c>
      <c r="M19" s="6">
        <v>5.1704240117697843E-2</v>
      </c>
      <c r="N19" s="6">
        <v>6.0940601525593441E-2</v>
      </c>
      <c r="O19" s="7">
        <v>2.7053665426156538E-2</v>
      </c>
      <c r="P19" s="7">
        <v>3.8619873594235361E-2</v>
      </c>
      <c r="Q19" s="7">
        <v>5.9654146080618912E-2</v>
      </c>
      <c r="R19" s="7">
        <v>7.2798747742052791E-2</v>
      </c>
      <c r="S19" s="8">
        <v>0.286803346578336</v>
      </c>
      <c r="T19" s="8">
        <v>0.35429081690034342</v>
      </c>
      <c r="U19" s="8">
        <v>0.10761613936842764</v>
      </c>
      <c r="W19" s="32">
        <v>0.12684410293315368</v>
      </c>
    </row>
    <row r="20" spans="2:23" ht="15.75" customHeight="1" x14ac:dyDescent="0.2">
      <c r="B20" s="5">
        <v>5.396329066001096E-2</v>
      </c>
      <c r="C20" s="5">
        <v>7.2677718811278838E-2</v>
      </c>
      <c r="D20" s="5">
        <v>7.6527519887004722E-2</v>
      </c>
      <c r="E20" s="5">
        <v>8.9575671467971976E-2</v>
      </c>
      <c r="F20" s="5">
        <v>3.4581202834350781E-2</v>
      </c>
      <c r="G20" s="5">
        <v>2.8329786158465549E-2</v>
      </c>
      <c r="H20" s="5">
        <v>7.2790196300919055E-2</v>
      </c>
      <c r="I20" s="5">
        <v>4.3519496487436644E-2</v>
      </c>
      <c r="J20" s="6">
        <v>5.3552074743744571E-2</v>
      </c>
      <c r="K20" s="6">
        <v>3.2900101951403631E-2</v>
      </c>
      <c r="L20" s="6">
        <v>6.3659095310065555E-2</v>
      </c>
      <c r="M20" s="6">
        <v>4.4840565142123125E-2</v>
      </c>
      <c r="N20" s="6">
        <v>3.7460678626588931E-2</v>
      </c>
      <c r="O20" s="7">
        <v>1.355072524003556E-2</v>
      </c>
      <c r="P20" s="7">
        <v>3.7518854433208453E-2</v>
      </c>
      <c r="Q20" s="7">
        <v>1.2747158915889071E-2</v>
      </c>
      <c r="R20" s="7">
        <v>3.468338849040685E-2</v>
      </c>
      <c r="S20" s="8">
        <v>6.9147452464983815E-3</v>
      </c>
      <c r="T20" s="8">
        <v>3.4125494132547549E-2</v>
      </c>
      <c r="U20" s="8">
        <v>-3.6372509724576056E-2</v>
      </c>
      <c r="W20" s="32">
        <v>4.5281775012618368E-2</v>
      </c>
    </row>
    <row r="21" spans="2:23" ht="15.75" customHeight="1" x14ac:dyDescent="0.2">
      <c r="B21" s="5">
        <v>2.2981953156700943E-2</v>
      </c>
      <c r="C21" s="5">
        <v>2.0245421296431049E-2</v>
      </c>
      <c r="D21" s="5">
        <v>2.5908748494987588E-2</v>
      </c>
      <c r="E21" s="5">
        <v>6.357433599812598E-2</v>
      </c>
      <c r="F21" s="5">
        <v>3.8164861104955459E-3</v>
      </c>
      <c r="G21" s="5">
        <v>-7.6326094043132221E-3</v>
      </c>
      <c r="H21" s="5">
        <v>5.4877226156208894E-2</v>
      </c>
      <c r="I21" s="5">
        <v>-1.6347127573930417E-2</v>
      </c>
      <c r="J21" s="6">
        <v>3.68108484923041E-2</v>
      </c>
      <c r="K21" s="6">
        <v>6.4771815588246059E-2</v>
      </c>
      <c r="L21" s="6">
        <v>3.4086815862426949E-2</v>
      </c>
      <c r="M21" s="6">
        <v>2.0390743753594464E-2</v>
      </c>
      <c r="N21" s="6">
        <v>3.714506686695003E-2</v>
      </c>
      <c r="O21" s="7">
        <v>1.5604121732616147E-2</v>
      </c>
      <c r="P21" s="7">
        <v>2.3299049610774141E-3</v>
      </c>
      <c r="Q21" s="7">
        <v>2.3597231349112905E-2</v>
      </c>
      <c r="R21" s="7">
        <v>2.2277687311382188E-2</v>
      </c>
      <c r="S21" s="8">
        <v>-1.5741211215113547E-2</v>
      </c>
      <c r="T21" s="8">
        <v>0.1203011316410388</v>
      </c>
      <c r="U21" s="8">
        <v>0.24962834909251636</v>
      </c>
      <c r="W21" s="32">
        <v>1.838840328350267E-2</v>
      </c>
    </row>
    <row r="22" spans="2:23" ht="15.75" customHeight="1" x14ac:dyDescent="0.2">
      <c r="B22" s="5">
        <v>5.7433093671136345E-2</v>
      </c>
      <c r="C22" s="5">
        <v>6.3327414477496541E-2</v>
      </c>
      <c r="D22" s="5">
        <v>4.5978334013228157E-2</v>
      </c>
      <c r="E22" s="5">
        <v>8.7811366286602743E-2</v>
      </c>
      <c r="F22" s="5">
        <v>1.0515006574015677E-2</v>
      </c>
      <c r="G22" s="5">
        <v>3.071842370604436E-2</v>
      </c>
      <c r="H22" s="5">
        <v>9.2100160939320885E-2</v>
      </c>
      <c r="I22" s="5">
        <v>5.2115395473443724E-2</v>
      </c>
      <c r="J22" s="6">
        <v>2.4201777431415262E-2</v>
      </c>
      <c r="K22" s="6">
        <v>8.5836850607055384E-2</v>
      </c>
      <c r="L22" s="6">
        <v>3.9826816003631221E-2</v>
      </c>
      <c r="M22" s="6">
        <v>-2.3553450834325543E-2</v>
      </c>
      <c r="N22" s="6">
        <v>2.6763087826722647E-2</v>
      </c>
      <c r="O22" s="7">
        <v>1.76852533055895E-2</v>
      </c>
      <c r="P22" s="7">
        <v>4.5128545960830838E-2</v>
      </c>
      <c r="Q22" s="7">
        <v>5.8114965640824932E-2</v>
      </c>
      <c r="R22" s="7">
        <v>6.4154820238310151E-2</v>
      </c>
      <c r="S22" s="8">
        <v>-7.3142188124320329E-2</v>
      </c>
      <c r="T22" s="8">
        <v>0.27340526397498577</v>
      </c>
      <c r="U22" s="8">
        <v>-5.0398463826736226E-3</v>
      </c>
      <c r="W22" s="32">
        <v>5.5101296975444213E-2</v>
      </c>
    </row>
    <row r="23" spans="2:23" ht="15.75" customHeight="1" x14ac:dyDescent="0.2">
      <c r="B23" s="5">
        <v>7.1048584322920577E-2</v>
      </c>
      <c r="C23" s="5">
        <v>3.1843157207464577E-2</v>
      </c>
      <c r="D23" s="5">
        <v>3.9627861704822867E-2</v>
      </c>
      <c r="E23" s="5">
        <v>0.11258292442622418</v>
      </c>
      <c r="F23" s="5">
        <v>3.8471822488137838E-2</v>
      </c>
      <c r="G23" s="5">
        <v>3.1896498099695338E-2</v>
      </c>
      <c r="H23" s="5">
        <v>0.12947528326890137</v>
      </c>
      <c r="I23" s="5">
        <v>2.35825635480373E-2</v>
      </c>
      <c r="J23" s="6">
        <v>4.9228522019442222E-2</v>
      </c>
      <c r="K23" s="6">
        <v>2.7435545950376606E-2</v>
      </c>
      <c r="L23" s="6">
        <v>4.2466919975078947E-2</v>
      </c>
      <c r="M23" s="6">
        <v>6.0828353485178399E-2</v>
      </c>
      <c r="N23" s="6">
        <v>3.4817262418767023E-2</v>
      </c>
      <c r="O23" s="7">
        <v>-7.5649119781779333E-3</v>
      </c>
      <c r="P23" s="7">
        <v>5.6664323657859162E-3</v>
      </c>
      <c r="Q23" s="7">
        <v>1.0843815712371288E-2</v>
      </c>
      <c r="R23" s="7">
        <v>3.0239282834982697E-2</v>
      </c>
      <c r="S23" s="8">
        <v>-1.4876368900652436E-3</v>
      </c>
      <c r="T23" s="8">
        <v>5.3561159330961304E-2</v>
      </c>
      <c r="U23" s="8">
        <v>0.14140976521778736</v>
      </c>
      <c r="W23" s="32">
        <v>7.0064687324219249E-2</v>
      </c>
    </row>
    <row r="24" spans="2:23" ht="15.75" customHeight="1" x14ac:dyDescent="0.2">
      <c r="B24" s="5">
        <v>-3.5375355754451984E-2</v>
      </c>
      <c r="C24" s="5">
        <v>-1.6077410424078998E-2</v>
      </c>
      <c r="D24" s="5">
        <v>-2.584228377070719E-2</v>
      </c>
      <c r="E24" s="5">
        <v>-4.3918875970107407E-2</v>
      </c>
      <c r="F24" s="5">
        <v>-2.0905612160066936E-2</v>
      </c>
      <c r="G24" s="5">
        <v>-2.5810067867634522E-2</v>
      </c>
      <c r="H24" s="5">
        <v>-3.3335904652179289E-2</v>
      </c>
      <c r="I24" s="5">
        <v>-1.3600108973347574E-2</v>
      </c>
      <c r="J24" s="6">
        <v>-1.7829168340184706E-2</v>
      </c>
      <c r="K24" s="6">
        <v>-1.1957960775814999E-2</v>
      </c>
      <c r="L24" s="6">
        <v>-2.3309415901058986E-3</v>
      </c>
      <c r="M24" s="6">
        <v>-3.2624805633161821E-2</v>
      </c>
      <c r="N24" s="6">
        <v>-3.2539289032434471E-2</v>
      </c>
      <c r="O24" s="7">
        <v>-1.026526803483577E-3</v>
      </c>
      <c r="P24" s="7">
        <v>-8.184282968441663E-3</v>
      </c>
      <c r="Q24" s="7">
        <v>-1.658563481946379E-2</v>
      </c>
      <c r="R24" s="7">
        <v>-3.0837820569604137E-2</v>
      </c>
      <c r="S24" s="8">
        <v>-0.13862781157944257</v>
      </c>
      <c r="T24" s="8">
        <v>-9.6335156952419607E-2</v>
      </c>
      <c r="U24" s="8">
        <v>2.7664298470925112E-2</v>
      </c>
      <c r="W24" s="32">
        <v>-3.9227954095494386E-2</v>
      </c>
    </row>
    <row r="25" spans="2:23" ht="15.75" customHeight="1" x14ac:dyDescent="0.2">
      <c r="B25" s="5">
        <v>-1.9493996513317378E-2</v>
      </c>
      <c r="C25" s="5">
        <v>-6.8102978600154249E-4</v>
      </c>
      <c r="D25" s="5">
        <v>2.1521642106427201E-2</v>
      </c>
      <c r="E25" s="5">
        <v>-3.5840555611542264E-2</v>
      </c>
      <c r="F25" s="5">
        <v>-1.0707462757329369E-2</v>
      </c>
      <c r="G25" s="5">
        <v>-1.717527924025217E-2</v>
      </c>
      <c r="H25" s="5">
        <v>-2.3442252858847941E-2</v>
      </c>
      <c r="I25" s="5">
        <v>-2.8676525376159379E-2</v>
      </c>
      <c r="J25" s="6">
        <v>-3.4394881628703015E-2</v>
      </c>
      <c r="K25" s="6">
        <v>1.3182149840798322E-2</v>
      </c>
      <c r="L25" s="6">
        <v>-3.9830719134083196E-2</v>
      </c>
      <c r="M25" s="6">
        <v>-4.0367851036325592E-2</v>
      </c>
      <c r="N25" s="6">
        <v>-2.6892036903657927E-2</v>
      </c>
      <c r="O25" s="7">
        <v>-3.755893333632888E-3</v>
      </c>
      <c r="P25" s="7">
        <v>3.8208477816266736E-3</v>
      </c>
      <c r="Q25" s="7">
        <v>1.91595355216129E-3</v>
      </c>
      <c r="R25" s="7">
        <v>-4.2168959375329549E-3</v>
      </c>
      <c r="S25" s="8">
        <v>-6.7439559232890967E-2</v>
      </c>
      <c r="T25" s="8">
        <v>1.9122922898187421E-2</v>
      </c>
      <c r="U25" s="8">
        <v>-6.3069519070880709E-2</v>
      </c>
      <c r="W25" s="32">
        <v>-2.7963128159381494E-2</v>
      </c>
    </row>
    <row r="26" spans="2:23" ht="15.75" customHeight="1" x14ac:dyDescent="0.2">
      <c r="B26" s="5">
        <v>0.11803102549238012</v>
      </c>
      <c r="C26" s="5">
        <v>0.13364354245707025</v>
      </c>
      <c r="D26" s="5">
        <v>0.15778739231970806</v>
      </c>
      <c r="E26" s="5">
        <v>0.13420583886610946</v>
      </c>
      <c r="F26" s="5">
        <v>0.16426921520423393</v>
      </c>
      <c r="G26" s="5">
        <v>0.12257981187905505</v>
      </c>
      <c r="H26" s="5">
        <v>0.14123620394395192</v>
      </c>
      <c r="I26" s="5">
        <v>8.8367433252138611E-2</v>
      </c>
      <c r="J26" s="6">
        <v>0.14182073295136075</v>
      </c>
      <c r="K26" s="6">
        <v>8.5596915761047096E-2</v>
      </c>
      <c r="L26" s="6">
        <v>0.11413660128795433</v>
      </c>
      <c r="M26" s="6">
        <v>0.16666675745207496</v>
      </c>
      <c r="N26" s="6">
        <v>0.15021696967633696</v>
      </c>
      <c r="O26" s="7">
        <v>1.4152478455382487E-2</v>
      </c>
      <c r="P26" s="7">
        <v>2.9597357471277362E-2</v>
      </c>
      <c r="Q26" s="7">
        <v>4.1492448000195435E-2</v>
      </c>
      <c r="R26" s="7">
        <v>7.1799615934968711E-2</v>
      </c>
      <c r="S26" s="8">
        <v>0.28407088675348624</v>
      </c>
      <c r="T26" s="8">
        <v>0.13154506986686867</v>
      </c>
      <c r="U26" s="8">
        <v>0.26692579108946862</v>
      </c>
      <c r="W26" s="32">
        <v>0.10788446478390683</v>
      </c>
    </row>
    <row r="27" spans="2:23" ht="15.75" customHeight="1" x14ac:dyDescent="0.2">
      <c r="B27" s="5">
        <v>4.6763101628086647E-2</v>
      </c>
      <c r="C27" s="5">
        <v>4.0202210824823337E-2</v>
      </c>
      <c r="D27" s="5">
        <v>7.5133872440894908E-2</v>
      </c>
      <c r="E27" s="5">
        <v>5.001666299488803E-2</v>
      </c>
      <c r="F27" s="5">
        <v>2.9002093852796156E-2</v>
      </c>
      <c r="G27" s="5">
        <v>3.4010436218805444E-2</v>
      </c>
      <c r="H27" s="5">
        <v>5.2393775202825683E-2</v>
      </c>
      <c r="I27" s="5">
        <v>4.1577446946277387E-2</v>
      </c>
      <c r="J27" s="6">
        <v>5.5173408431523442E-2</v>
      </c>
      <c r="K27" s="6">
        <v>5.9993746622155272E-2</v>
      </c>
      <c r="L27" s="6">
        <v>5.3284948534848622E-2</v>
      </c>
      <c r="M27" s="6">
        <v>5.1271288722632175E-2</v>
      </c>
      <c r="N27" s="6">
        <v>5.3177602737564361E-2</v>
      </c>
      <c r="O27" s="7">
        <v>3.1593706892077381E-3</v>
      </c>
      <c r="P27" s="7">
        <v>1.2155695033681049E-2</v>
      </c>
      <c r="Q27" s="7">
        <v>3.4563542206968154E-2</v>
      </c>
      <c r="R27" s="7">
        <v>3.0404494349265329E-2</v>
      </c>
      <c r="S27" s="8">
        <v>2.0197953859388922E-2</v>
      </c>
      <c r="T27" s="8">
        <v>9.3945987355790475E-2</v>
      </c>
      <c r="U27" s="8">
        <v>5.4790064765717517E-2</v>
      </c>
      <c r="W27" s="32">
        <v>3.7121406659432372E-2</v>
      </c>
    </row>
    <row r="28" spans="2:23" ht="15.75" customHeight="1" x14ac:dyDescent="0.2">
      <c r="B28" s="5">
        <v>-3.3393467163090559E-3</v>
      </c>
      <c r="C28" s="5">
        <v>-4.7399189546525724E-3</v>
      </c>
      <c r="D28" s="5">
        <v>2.008423825261527E-2</v>
      </c>
      <c r="E28" s="5">
        <v>2.285540149322043E-3</v>
      </c>
      <c r="F28" s="5">
        <v>3.3022581008129763E-2</v>
      </c>
      <c r="G28" s="5">
        <v>-5.6825176200344159E-3</v>
      </c>
      <c r="H28" s="5">
        <v>2.9471679657850601E-2</v>
      </c>
      <c r="I28" s="5">
        <v>2.368927623894905E-2</v>
      </c>
      <c r="J28" s="6">
        <v>-7.497870655149343E-3</v>
      </c>
      <c r="K28" s="6">
        <v>3.1331136414088502E-2</v>
      </c>
      <c r="L28" s="6">
        <v>-1.4071966972007709E-2</v>
      </c>
      <c r="M28" s="6">
        <v>-8.7848016713332991E-4</v>
      </c>
      <c r="N28" s="6">
        <v>4.9358909786879025E-3</v>
      </c>
      <c r="O28" s="7">
        <v>-6.8762524430079257E-3</v>
      </c>
      <c r="P28" s="7">
        <v>3.4804497769550733E-4</v>
      </c>
      <c r="Q28" s="7">
        <v>-1.3004706589057991E-2</v>
      </c>
      <c r="R28" s="7">
        <v>-5.1282051282051135E-3</v>
      </c>
      <c r="S28" s="8">
        <v>3.256756959960936E-2</v>
      </c>
      <c r="T28" s="8">
        <v>3.0068311993369536E-2</v>
      </c>
      <c r="U28" s="8">
        <v>-8.7110180914009933E-2</v>
      </c>
      <c r="W28" s="32">
        <v>-1.1136640158463601E-2</v>
      </c>
    </row>
    <row r="29" spans="2:23" ht="15.75" customHeight="1" x14ac:dyDescent="0.2">
      <c r="B29" s="5">
        <v>3.1393443817382752E-2</v>
      </c>
      <c r="C29" s="5">
        <v>5.340420965356641E-2</v>
      </c>
      <c r="D29" s="5">
        <v>6.1685088760999943E-2</v>
      </c>
      <c r="E29" s="5">
        <v>1.4746123441775599E-2</v>
      </c>
      <c r="F29" s="5">
        <v>6.9057823664956455E-2</v>
      </c>
      <c r="G29" s="5">
        <v>4.571927189397644E-2</v>
      </c>
      <c r="H29" s="5">
        <v>8.1191154179335737E-4</v>
      </c>
      <c r="I29" s="5">
        <v>-1.9255074987836868E-2</v>
      </c>
      <c r="J29" s="6">
        <v>2.4622295494072952E-2</v>
      </c>
      <c r="K29" s="6">
        <v>1.5673421055269744E-2</v>
      </c>
      <c r="L29" s="6">
        <v>-6.0308233751109363E-4</v>
      </c>
      <c r="M29" s="6">
        <v>5.8901032077160888E-2</v>
      </c>
      <c r="N29" s="6">
        <v>3.7000517192872576E-2</v>
      </c>
      <c r="O29" s="7">
        <v>-1.3034772884225844E-2</v>
      </c>
      <c r="P29" s="7">
        <v>1.6818333536007258E-4</v>
      </c>
      <c r="Q29" s="7">
        <v>-1.9274695397397772E-2</v>
      </c>
      <c r="R29" s="7">
        <v>5.3323853537150972E-4</v>
      </c>
      <c r="S29" s="8">
        <v>0.24487761474925349</v>
      </c>
      <c r="T29" s="8">
        <v>6.5748335297577468E-2</v>
      </c>
      <c r="U29" s="8">
        <v>7.8014309619332922E-2</v>
      </c>
      <c r="W29" s="32">
        <v>2.6091474971999741E-2</v>
      </c>
    </row>
    <row r="30" spans="2:23" ht="15.75" customHeight="1" x14ac:dyDescent="0.2">
      <c r="B30" s="5">
        <v>3.6478848080992783E-2</v>
      </c>
      <c r="C30" s="5">
        <v>2.4010546479963556E-2</v>
      </c>
      <c r="D30" s="5">
        <v>1.8138075953820443E-2</v>
      </c>
      <c r="E30" s="5">
        <v>-2.9812734082396927E-2</v>
      </c>
      <c r="F30" s="5">
        <v>7.2494006713751599E-2</v>
      </c>
      <c r="G30" s="5">
        <v>6.9420670960902903E-2</v>
      </c>
      <c r="H30" s="5">
        <v>4.2227398619130552E-2</v>
      </c>
      <c r="I30" s="5">
        <v>2.1264224491400623E-2</v>
      </c>
      <c r="J30" s="6">
        <v>2.7307545276173885E-2</v>
      </c>
      <c r="K30" s="6">
        <v>-7.1041979351434597E-3</v>
      </c>
      <c r="L30" s="6">
        <v>1.03589749829897E-2</v>
      </c>
      <c r="M30" s="6">
        <v>4.9813529324843543E-2</v>
      </c>
      <c r="N30" s="6">
        <v>3.8976392087688438E-2</v>
      </c>
      <c r="O30" s="7">
        <v>-1.2989756795284484E-2</v>
      </c>
      <c r="P30" s="7">
        <v>-1.4963212848080035E-3</v>
      </c>
      <c r="Q30" s="7">
        <v>-1.8293548080486045E-2</v>
      </c>
      <c r="R30" s="7">
        <v>-1.8298099129507927E-2</v>
      </c>
      <c r="S30" s="8">
        <v>3.1070485097245675E-2</v>
      </c>
      <c r="T30" s="8">
        <v>5.5517443267783385E-2</v>
      </c>
      <c r="U30" s="8">
        <v>1.2686588150511009E-2</v>
      </c>
      <c r="W30" s="32">
        <v>4.2438634008107733E-2</v>
      </c>
    </row>
    <row r="31" spans="2:23" ht="15.75" customHeight="1" x14ac:dyDescent="0.2">
      <c r="B31" s="5">
        <v>5.0365610242928731E-2</v>
      </c>
      <c r="C31" s="5">
        <v>4.829653601582308E-2</v>
      </c>
      <c r="D31" s="5">
        <v>3.9284434914761052E-2</v>
      </c>
      <c r="E31" s="5">
        <v>6.9641754169240122E-2</v>
      </c>
      <c r="F31" s="5">
        <v>1.7763662703714784E-2</v>
      </c>
      <c r="G31" s="5">
        <v>2.5521921600501422E-2</v>
      </c>
      <c r="H31" s="5">
        <v>6.3172739876753092E-2</v>
      </c>
      <c r="I31" s="5">
        <v>4.1442750301610681E-2</v>
      </c>
      <c r="J31" s="6">
        <v>2.9771497250519221E-2</v>
      </c>
      <c r="K31" s="6">
        <v>1.7867397185081881E-2</v>
      </c>
      <c r="L31" s="6">
        <v>4.0811847070714724E-2</v>
      </c>
      <c r="M31" s="6">
        <v>7.9082472177980333E-3</v>
      </c>
      <c r="N31" s="6">
        <v>2.2765435565741194E-2</v>
      </c>
      <c r="O31" s="7">
        <v>8.5884648058245448E-3</v>
      </c>
      <c r="P31" s="7">
        <v>1.1855683280064909E-2</v>
      </c>
      <c r="Q31" s="7">
        <v>2.2172245070924506E-2</v>
      </c>
      <c r="R31" s="7">
        <v>2.5334781035106745E-2</v>
      </c>
      <c r="S31" s="8">
        <v>-8.5688826307095158E-3</v>
      </c>
      <c r="T31" s="8">
        <v>6.9209043430112568E-2</v>
      </c>
      <c r="U31" s="8">
        <v>6.8358157943722811E-2</v>
      </c>
      <c r="W31" s="32">
        <v>5.2425312555847307E-2</v>
      </c>
    </row>
    <row r="32" spans="2:23" ht="15.75" customHeight="1" x14ac:dyDescent="0.2">
      <c r="B32" s="5">
        <v>4.559788946381935E-3</v>
      </c>
      <c r="C32" s="5">
        <v>8.0592636247619632E-3</v>
      </c>
      <c r="D32" s="5">
        <v>4.0431382522898048E-4</v>
      </c>
      <c r="E32" s="5">
        <v>-2.7140176122419455E-2</v>
      </c>
      <c r="F32" s="5">
        <v>2.8480997305497562E-2</v>
      </c>
      <c r="G32" s="5">
        <v>3.0288053116399639E-2</v>
      </c>
      <c r="H32" s="5">
        <v>-2.8595157092974142E-2</v>
      </c>
      <c r="I32" s="5">
        <v>7.3460417433287503E-3</v>
      </c>
      <c r="J32" s="6">
        <v>3.5880015329245563E-2</v>
      </c>
      <c r="K32" s="6">
        <v>1.6987488466846015E-2</v>
      </c>
      <c r="L32" s="6">
        <v>3.2995547944214831E-2</v>
      </c>
      <c r="M32" s="6">
        <v>4.7077185287219207E-2</v>
      </c>
      <c r="N32" s="6">
        <v>4.3621224527735335E-2</v>
      </c>
      <c r="O32" s="7">
        <v>2.5227345065024971E-3</v>
      </c>
      <c r="P32" s="7">
        <v>1.8579139641079654E-3</v>
      </c>
      <c r="Q32" s="7">
        <v>1.5524525874953326E-2</v>
      </c>
      <c r="R32" s="7">
        <v>1.7649135192375574E-2</v>
      </c>
      <c r="S32" s="8">
        <v>5.0779745169976222E-2</v>
      </c>
      <c r="T32" s="8">
        <v>-1.645131921267768E-3</v>
      </c>
      <c r="U32" s="8">
        <v>-3.8837486100396015E-2</v>
      </c>
      <c r="W32" s="32">
        <v>5.4865025818131288E-3</v>
      </c>
    </row>
    <row r="33" spans="1:25" ht="15.75" customHeight="1" x14ac:dyDescent="0.2">
      <c r="B33" s="5">
        <v>2.4820129611874939E-2</v>
      </c>
      <c r="C33" s="5">
        <v>1.7737537576523202E-2</v>
      </c>
      <c r="D33" s="5">
        <v>1.4642889074933484E-2</v>
      </c>
      <c r="E33" s="5">
        <v>8.4433892268882593E-2</v>
      </c>
      <c r="F33" s="5">
        <v>-1.595233827372472E-2</v>
      </c>
      <c r="G33" s="5">
        <v>-1.1861845173804952E-2</v>
      </c>
      <c r="H33" s="5">
        <v>3.0659297598895845E-2</v>
      </c>
      <c r="I33" s="5">
        <v>3.2741466638874561E-2</v>
      </c>
      <c r="J33" s="6">
        <v>-8.5049914045299633E-3</v>
      </c>
      <c r="K33" s="6">
        <v>1.326815813402942E-2</v>
      </c>
      <c r="L33" s="6">
        <v>1.4310157971822296E-3</v>
      </c>
      <c r="M33" s="6">
        <v>-2.1690285786167697E-2</v>
      </c>
      <c r="N33" s="6">
        <v>-1.4950418700203978E-2</v>
      </c>
      <c r="O33" s="7">
        <v>1.0794255144826364E-2</v>
      </c>
      <c r="P33" s="7">
        <v>1.0095471733411753E-2</v>
      </c>
      <c r="Q33" s="7">
        <v>-1.670791263627134E-2</v>
      </c>
      <c r="R33" s="7">
        <v>-2.4280263614290646E-2</v>
      </c>
      <c r="S33" s="8">
        <v>6.0806161826697937E-2</v>
      </c>
      <c r="T33" s="8">
        <v>-3.6815488562053932E-2</v>
      </c>
      <c r="U33" s="8">
        <v>1.3605231931136559E-2</v>
      </c>
      <c r="W33" s="32">
        <v>2.221397632316955E-2</v>
      </c>
    </row>
    <row r="34" spans="1:25" ht="15.75" customHeight="1" x14ac:dyDescent="0.2">
      <c r="B34" s="5">
        <v>1.7368175333121124E-2</v>
      </c>
      <c r="C34" s="5">
        <v>1.3145006473031842E-2</v>
      </c>
      <c r="D34" s="5">
        <v>-1.4781821928312493E-2</v>
      </c>
      <c r="E34" s="5">
        <v>1.5051997810618617E-2</v>
      </c>
      <c r="F34" s="5">
        <v>-6.9478199261596256E-3</v>
      </c>
      <c r="G34" s="5">
        <v>5.536350142662582E-3</v>
      </c>
      <c r="H34" s="5">
        <v>3.3756581381267602E-3</v>
      </c>
      <c r="I34" s="5">
        <v>3.7591499505572813E-2</v>
      </c>
      <c r="J34" s="6">
        <v>3.2953105196450051E-3</v>
      </c>
      <c r="K34" s="6">
        <v>-5.8920984317062552E-2</v>
      </c>
      <c r="L34" s="6">
        <v>1.7710663683818097E-2</v>
      </c>
      <c r="M34" s="6">
        <v>-5.4221533694810446E-3</v>
      </c>
      <c r="N34" s="6">
        <v>-6.4726372546644196E-3</v>
      </c>
      <c r="O34" s="7">
        <v>1.188076843670683E-2</v>
      </c>
      <c r="P34" s="7">
        <v>5.1876434428787298E-3</v>
      </c>
      <c r="Q34" s="7">
        <v>1.3453224577498819E-2</v>
      </c>
      <c r="R34" s="7">
        <v>4.0881621045148241E-3</v>
      </c>
      <c r="S34" s="8">
        <v>-6.2586774024791292E-2</v>
      </c>
      <c r="T34" s="8">
        <v>-2.0708757825973482E-2</v>
      </c>
      <c r="U34" s="8">
        <v>4.8681677172965433E-2</v>
      </c>
      <c r="W34" s="32">
        <v>2.2748109365910464E-2</v>
      </c>
    </row>
    <row r="35" spans="1:25" ht="15.75" customHeight="1" x14ac:dyDescent="0.2">
      <c r="B35" s="5">
        <v>2.8585247948129142E-2</v>
      </c>
      <c r="C35" s="5">
        <v>3.0232598860352299E-2</v>
      </c>
      <c r="D35" s="5">
        <v>1.964417601926147E-2</v>
      </c>
      <c r="E35" s="5">
        <v>3.0062011323806814E-2</v>
      </c>
      <c r="F35" s="5">
        <v>7.6673997455141904E-3</v>
      </c>
      <c r="G35" s="5">
        <v>2.0882908291307227E-2</v>
      </c>
      <c r="H35" s="5">
        <v>1.8630600471027759E-2</v>
      </c>
      <c r="I35" s="5">
        <v>2.3671904476378115E-2</v>
      </c>
      <c r="J35" s="6">
        <v>1.187468418393125E-2</v>
      </c>
      <c r="K35" s="6">
        <v>2.1913450854095431E-2</v>
      </c>
      <c r="L35" s="6">
        <v>1.9325883861513092E-2</v>
      </c>
      <c r="M35" s="6">
        <v>1.0124610591900373E-2</v>
      </c>
      <c r="N35" s="6">
        <v>1.1992905621990728E-2</v>
      </c>
      <c r="O35" s="7">
        <v>-2.3516708607919483E-3</v>
      </c>
      <c r="P35" s="7">
        <v>5.1788265018445495E-3</v>
      </c>
      <c r="Q35" s="7">
        <v>-1.4186879256207924E-2</v>
      </c>
      <c r="R35" s="7">
        <v>-3.894494600814283E-3</v>
      </c>
      <c r="S35" s="8">
        <v>-2.8262866872894716E-2</v>
      </c>
      <c r="T35" s="8">
        <v>7.4969921036941695E-2</v>
      </c>
      <c r="U35" s="8">
        <v>-3.3157620311698604E-3</v>
      </c>
      <c r="W35" s="32">
        <v>2.8992596569941114E-2</v>
      </c>
    </row>
    <row r="36" spans="1:25" ht="15.75" customHeight="1" x14ac:dyDescent="0.2">
      <c r="B36" s="5">
        <v>-4.4641478116800117E-2</v>
      </c>
      <c r="C36" s="5">
        <v>-4.1904730302008822E-2</v>
      </c>
      <c r="D36" s="5">
        <v>-3.1242828574238598E-2</v>
      </c>
      <c r="E36" s="5">
        <v>-5.7191467085459892E-2</v>
      </c>
      <c r="F36" s="5">
        <v>-3.5215126907054931E-2</v>
      </c>
      <c r="G36" s="5">
        <v>-3.213843557610014E-2</v>
      </c>
      <c r="H36" s="5">
        <v>-2.9428083680163662E-2</v>
      </c>
      <c r="I36" s="5">
        <v>-5.5015993154639217E-2</v>
      </c>
      <c r="J36" s="6">
        <v>-3.3707865168539186E-2</v>
      </c>
      <c r="K36" s="6">
        <v>-3.3620013824200094E-2</v>
      </c>
      <c r="L36" s="6">
        <v>-4.3310270464552138E-2</v>
      </c>
      <c r="M36" s="6">
        <v>-8.8666152659984745E-3</v>
      </c>
      <c r="N36" s="6">
        <v>-2.3059782677023258E-2</v>
      </c>
      <c r="O36" s="7">
        <v>-8.1350636653305403E-3</v>
      </c>
      <c r="P36" s="7">
        <v>-1.6582823213547304E-3</v>
      </c>
      <c r="Q36" s="7">
        <v>-3.2313282629507806E-2</v>
      </c>
      <c r="R36" s="7">
        <v>-2.2036609205615815E-2</v>
      </c>
      <c r="S36" s="8">
        <v>0.11588469277004991</v>
      </c>
      <c r="T36" s="8">
        <v>9.5544134629190394E-3</v>
      </c>
      <c r="U36" s="8">
        <v>-0.10154151688852288</v>
      </c>
      <c r="W36" s="32">
        <v>-4.7571246315798704E-2</v>
      </c>
    </row>
    <row r="37" spans="1:25" ht="15.75" customHeight="1" x14ac:dyDescent="0.2">
      <c r="B37" s="5">
        <v>6.6873817887057527E-2</v>
      </c>
      <c r="C37" s="5">
        <v>6.5889508362899238E-2</v>
      </c>
      <c r="D37" s="5">
        <v>4.948095303425263E-2</v>
      </c>
      <c r="E37" s="5">
        <v>7.2737368128817245E-2</v>
      </c>
      <c r="F37" s="5">
        <v>2.4826216484607744E-2</v>
      </c>
      <c r="G37" s="5">
        <v>4.9250120948234194E-2</v>
      </c>
      <c r="H37" s="5">
        <v>9.3041262057618396E-2</v>
      </c>
      <c r="I37" s="5">
        <v>4.5678912445379478E-2</v>
      </c>
      <c r="J37" s="6">
        <v>3.2558139534883665E-2</v>
      </c>
      <c r="K37" s="6">
        <v>1.2997400519895994E-2</v>
      </c>
      <c r="L37" s="6">
        <v>4.2077580539119037E-2</v>
      </c>
      <c r="M37" s="6">
        <v>1.2057565149747131E-2</v>
      </c>
      <c r="N37" s="6">
        <v>2.9674489023467192E-2</v>
      </c>
      <c r="O37" s="7">
        <v>-1.190476190476165E-3</v>
      </c>
      <c r="P37" s="7">
        <v>-6.6889632107023462E-3</v>
      </c>
      <c r="Q37" s="7">
        <v>6.0383631222596084E-3</v>
      </c>
      <c r="R37" s="7">
        <v>-5.088133745229895E-3</v>
      </c>
      <c r="S37" s="8">
        <v>0.11011797391040297</v>
      </c>
      <c r="T37" s="8">
        <v>7.903294436605994E-2</v>
      </c>
      <c r="U37" s="8">
        <v>7.1807680299718929E-2</v>
      </c>
      <c r="W37" s="32">
        <v>6.9143873301234615E-2</v>
      </c>
    </row>
    <row r="38" spans="1:25" ht="15.75" customHeight="1" x14ac:dyDescent="0.15">
      <c r="A38" s="180" t="s">
        <v>97</v>
      </c>
      <c r="B38" s="35">
        <f>SLOPE(B2:B37,W2:W37)</f>
        <v>1.0290576355988412</v>
      </c>
      <c r="C38" s="35">
        <f>SLOPE(C$2:C$37,$W$2:$W$37)</f>
        <v>1.1063456286951721</v>
      </c>
      <c r="D38" s="35">
        <f t="shared" ref="D38:U38" si="0">SLOPE(D$2:D$37,$W$2:$W$37)</f>
        <v>1.1927321263043764</v>
      </c>
      <c r="E38" s="35">
        <f t="shared" si="0"/>
        <v>1.1027865640334771</v>
      </c>
      <c r="F38" s="35">
        <f t="shared" si="0"/>
        <v>1.1038458201950989</v>
      </c>
      <c r="G38" s="35">
        <f t="shared" si="0"/>
        <v>0.91877650713083547</v>
      </c>
      <c r="H38" s="35">
        <f t="shared" si="0"/>
        <v>1.2682613293603453</v>
      </c>
      <c r="I38" s="35">
        <f t="shared" si="0"/>
        <v>0.73932411625096528</v>
      </c>
      <c r="J38" s="35">
        <f t="shared" si="0"/>
        <v>0.84071188726284896</v>
      </c>
      <c r="K38" s="35">
        <f t="shared" si="0"/>
        <v>0.75901014376562637</v>
      </c>
      <c r="L38" s="35">
        <f t="shared" si="0"/>
        <v>0.75007607255622177</v>
      </c>
      <c r="M38" s="35">
        <f t="shared" si="0"/>
        <v>0.8992243484041299</v>
      </c>
      <c r="N38" s="35">
        <f t="shared" si="0"/>
        <v>0.88610704858664202</v>
      </c>
      <c r="O38" s="35">
        <f t="shared" si="0"/>
        <v>4.6505112555088705E-2</v>
      </c>
      <c r="P38" s="35">
        <f t="shared" si="0"/>
        <v>0.34283328678221675</v>
      </c>
      <c r="Q38" s="35">
        <f t="shared" si="0"/>
        <v>0.35066218031962643</v>
      </c>
      <c r="R38" s="35">
        <f t="shared" si="0"/>
        <v>0.504858411105917</v>
      </c>
      <c r="S38" s="35">
        <f t="shared" si="0"/>
        <v>1.5198452962327695</v>
      </c>
      <c r="T38" s="35">
        <f t="shared" si="0"/>
        <v>1.7667049878221521</v>
      </c>
      <c r="U38" s="35">
        <f t="shared" si="0"/>
        <v>1.4737244975765866</v>
      </c>
    </row>
    <row r="39" spans="1:25" ht="15.75" customHeight="1" x14ac:dyDescent="0.15">
      <c r="A39" s="180" t="s">
        <v>100</v>
      </c>
      <c r="B39" s="34">
        <f>0.02+B38*(0.075-0.02)</f>
        <v>7.6598169957936266E-2</v>
      </c>
      <c r="C39" s="34">
        <f>0.02+C38*(0.075-0.02)</f>
        <v>8.084900957823446E-2</v>
      </c>
      <c r="D39" s="34">
        <f t="shared" ref="D39:U39" si="1">0.02+D38*(0.075-0.02)</f>
        <v>8.5600266946740694E-2</v>
      </c>
      <c r="E39" s="34">
        <f t="shared" si="1"/>
        <v>8.0653261021841227E-2</v>
      </c>
      <c r="F39" s="34">
        <f t="shared" si="1"/>
        <v>8.0711520110730434E-2</v>
      </c>
      <c r="G39" s="34">
        <f>0.02+G38*(0.075-0.02)</f>
        <v>7.0532707892195942E-2</v>
      </c>
      <c r="H39" s="34">
        <f t="shared" si="1"/>
        <v>8.9754373114818986E-2</v>
      </c>
      <c r="I39" s="34">
        <f t="shared" si="1"/>
        <v>6.066282639380309E-2</v>
      </c>
      <c r="J39" s="34">
        <f>0.02+J38*(0.075-0.02)</f>
        <v>6.623915379945669E-2</v>
      </c>
      <c r="K39" s="34">
        <f t="shared" si="1"/>
        <v>6.174555790710945E-2</v>
      </c>
      <c r="L39" s="34">
        <f t="shared" si="1"/>
        <v>6.1254183990592195E-2</v>
      </c>
      <c r="M39" s="34">
        <f t="shared" si="1"/>
        <v>6.9457339162227141E-2</v>
      </c>
      <c r="N39" s="34">
        <f t="shared" si="1"/>
        <v>6.8735887672265308E-2</v>
      </c>
      <c r="O39" s="34">
        <f t="shared" si="1"/>
        <v>2.2557781190529879E-2</v>
      </c>
      <c r="P39" s="34">
        <f t="shared" si="1"/>
        <v>3.8855830773021918E-2</v>
      </c>
      <c r="Q39" s="34">
        <f t="shared" si="1"/>
        <v>3.9286419917579453E-2</v>
      </c>
      <c r="R39" s="34">
        <f t="shared" si="1"/>
        <v>4.7767212610825435E-2</v>
      </c>
      <c r="S39" s="34">
        <f t="shared" si="1"/>
        <v>0.10359149129280232</v>
      </c>
      <c r="T39" s="34">
        <f t="shared" si="1"/>
        <v>0.11716877433021836</v>
      </c>
      <c r="U39" s="34">
        <f t="shared" si="1"/>
        <v>0.10105484736671226</v>
      </c>
    </row>
    <row r="40" spans="1:25" ht="15.75" customHeight="1" x14ac:dyDescent="0.2">
      <c r="W40" s="20"/>
      <c r="X40" s="20"/>
      <c r="Y40" s="20"/>
    </row>
    <row r="41" spans="1:25" ht="15.75" customHeight="1" x14ac:dyDescent="0.2">
      <c r="B41" s="10" t="s">
        <v>95</v>
      </c>
      <c r="C41" s="26" t="s">
        <v>77</v>
      </c>
      <c r="D41" s="26" t="s">
        <v>76</v>
      </c>
      <c r="E41" s="26" t="s">
        <v>75</v>
      </c>
      <c r="F41" s="26" t="s">
        <v>74</v>
      </c>
      <c r="G41" s="26" t="s">
        <v>73</v>
      </c>
      <c r="H41" s="26" t="s">
        <v>72</v>
      </c>
      <c r="I41" s="26" t="s">
        <v>71</v>
      </c>
      <c r="J41" s="26" t="s">
        <v>70</v>
      </c>
      <c r="K41" s="25" t="s">
        <v>68</v>
      </c>
      <c r="L41" s="25" t="s">
        <v>67</v>
      </c>
      <c r="M41" s="25" t="s">
        <v>66</v>
      </c>
      <c r="N41" s="25" t="s">
        <v>65</v>
      </c>
      <c r="O41" s="25" t="s">
        <v>64</v>
      </c>
      <c r="P41" s="27" t="s">
        <v>62</v>
      </c>
      <c r="Q41" s="27" t="s">
        <v>61</v>
      </c>
      <c r="R41" s="27" t="s">
        <v>60</v>
      </c>
      <c r="S41" s="27" t="s">
        <v>59</v>
      </c>
      <c r="T41" s="28" t="s">
        <v>80</v>
      </c>
      <c r="U41" s="28" t="s">
        <v>79</v>
      </c>
      <c r="V41" s="29" t="s">
        <v>47</v>
      </c>
      <c r="W41" s="31"/>
      <c r="X41" s="31"/>
      <c r="Y41" s="31"/>
    </row>
    <row r="42" spans="1:25" ht="15.75" customHeight="1" x14ac:dyDescent="0.15">
      <c r="B42" s="10" t="s">
        <v>84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0.29999999999999993</v>
      </c>
      <c r="K42" s="12">
        <v>0</v>
      </c>
      <c r="L42" s="12">
        <v>0</v>
      </c>
      <c r="M42" s="12">
        <v>0.40000000000000008</v>
      </c>
      <c r="N42" s="12">
        <v>0</v>
      </c>
      <c r="O42" s="12">
        <v>0</v>
      </c>
      <c r="P42" s="12">
        <v>0.29999999999999971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31"/>
      <c r="X42" s="31"/>
      <c r="Y42" s="31"/>
    </row>
    <row r="43" spans="1:25" ht="15.75" customHeight="1" x14ac:dyDescent="0.15">
      <c r="B43" s="10" t="s">
        <v>85</v>
      </c>
      <c r="C43" s="12" cm="1">
        <f t="array" ref="C43">MMULT($C$42:$V$42,'Covariance Matrix'!B77:B96)</f>
        <v>2.8533253378703619E-2</v>
      </c>
      <c r="D43" s="12" cm="1">
        <f t="array" ref="D43">MMULT($C$42:$V$42,'Covariance Matrix'!C77:C96)</f>
        <v>3.1645642406731359E-2</v>
      </c>
      <c r="E43" s="12" cm="1">
        <f t="array" ref="E43">MMULT($C$42:$V$42,'Covariance Matrix'!D77:D96)</f>
        <v>3.5363868610647838E-2</v>
      </c>
      <c r="F43" s="12" cm="1">
        <f t="array" ref="F43">MMULT($C$42:$V$42,'Covariance Matrix'!E77:E96)</f>
        <v>3.3757504110890763E-2</v>
      </c>
      <c r="G43" s="12" cm="1">
        <f t="array" ref="G43">MMULT($C$42:$V$42,'Covariance Matrix'!F77:F96)</f>
        <v>3.338013448614318E-2</v>
      </c>
      <c r="H43" s="12" cm="1">
        <f t="array" ref="H43">MMULT($C$42:$V$42,'Covariance Matrix'!G77:G96)</f>
        <v>2.6685681051311732E-2</v>
      </c>
      <c r="I43" s="12" cm="1">
        <f t="array" ref="I43">MMULT($C$42:$V$42,'Covariance Matrix'!H77:H96)</f>
        <v>3.6693328793461155E-2</v>
      </c>
      <c r="J43" s="12" cm="1">
        <f t="array" ref="J43">MMULT($C$42:$V$42,'Covariance Matrix'!I77:I96)</f>
        <v>2.324973730833902E-2</v>
      </c>
      <c r="K43" s="12" cm="1">
        <f t="array" ref="K43">MMULT($C$42:$V$42,'Covariance Matrix'!J77:J96)</f>
        <v>2.7826687154500308E-2</v>
      </c>
      <c r="L43" s="12" cm="1">
        <f t="array" ref="L43">MMULT($C$42:$V$42,'Covariance Matrix'!K77:K96)</f>
        <v>2.6654646353888284E-2</v>
      </c>
      <c r="M43" s="12" cm="1">
        <f t="array" ref="M43">MMULT($C$42:$V$42,'Covariance Matrix'!L77:L96)</f>
        <v>2.1477526116187962E-2</v>
      </c>
      <c r="N43" s="12" cm="1">
        <f t="array" ref="N43">MMULT($C$42:$V$42,'Covariance Matrix'!M77:M96)</f>
        <v>2.9282907094427973E-2</v>
      </c>
      <c r="O43" s="12" cm="1">
        <f t="array" ref="O43">MMULT($C$42:$V$42,'Covariance Matrix'!N77:N96)</f>
        <v>2.8037578293046081E-2</v>
      </c>
      <c r="P43" s="12" cm="1">
        <f t="array" ref="P43">MMULT($C$42:$V$42,'Covariance Matrix'!O77:O96)</f>
        <v>5.3507364016577063E-3</v>
      </c>
      <c r="Q43" s="12" cm="1">
        <f t="array" ref="Q43">MMULT($C$42:$V$42,'Covariance Matrix'!P77:P96)</f>
        <v>1.2168936320548839E-2</v>
      </c>
      <c r="R43" s="12" cm="1">
        <f t="array" ref="R43">MMULT($C$42:$V$42,'Covariance Matrix'!Q77:Q96)</f>
        <v>1.3782339311980901E-2</v>
      </c>
      <c r="S43" s="12" cm="1">
        <f t="array" ref="S43">MMULT($C$42:$V$42,'Covariance Matrix'!R77:R96)</f>
        <v>1.8082228734467246E-2</v>
      </c>
      <c r="T43" s="12" cm="1">
        <f t="array" ref="T43">MMULT($C$42:$V$42,'Covariance Matrix'!S77:S96)</f>
        <v>5.6518683803692536E-2</v>
      </c>
      <c r="U43" s="12" cm="1">
        <f t="array" ref="U43">MMULT($C$42:$V$42,'Covariance Matrix'!T77:T96)</f>
        <v>6.0168880293225584E-2</v>
      </c>
      <c r="V43" s="12" cm="1">
        <f t="array" ref="V43">MMULT($C$42:$V$42,'Covariance Matrix'!U77:U96)</f>
        <v>5.8654640317606324E-2</v>
      </c>
      <c r="W43" s="24"/>
      <c r="X43" s="24"/>
      <c r="Y43" s="24"/>
    </row>
    <row r="44" spans="1:25" ht="15.75" customHeight="1" x14ac:dyDescent="0.15">
      <c r="B44" s="10" t="s">
        <v>96</v>
      </c>
      <c r="C44" s="19">
        <f>SUM(C42:J42)</f>
        <v>0.29999999999999993</v>
      </c>
      <c r="D44" s="13"/>
      <c r="E44" s="13"/>
      <c r="F44" s="13"/>
      <c r="G44" s="13"/>
      <c r="H44" s="13"/>
      <c r="I44" s="13"/>
      <c r="J44" s="13"/>
      <c r="K44" s="19">
        <f>SUM(K42:O42)</f>
        <v>0.40000000000000008</v>
      </c>
      <c r="L44" s="13"/>
      <c r="M44" s="13"/>
      <c r="N44" s="13"/>
      <c r="O44" s="13"/>
      <c r="P44" s="19">
        <f>SUM(P42:S42)</f>
        <v>0.29999999999999971</v>
      </c>
      <c r="Q44" s="13"/>
      <c r="R44" s="13"/>
      <c r="S44" s="13"/>
      <c r="T44" s="19">
        <f>SUM(T42:V42)</f>
        <v>0</v>
      </c>
      <c r="U44" s="13"/>
      <c r="V44" s="30"/>
    </row>
    <row r="47" spans="1:25" ht="15.75" customHeight="1" x14ac:dyDescent="0.2">
      <c r="B47" s="10" t="s">
        <v>86</v>
      </c>
      <c r="C47" s="12">
        <f>SUM(C42:V42)</f>
        <v>0.99999999999999967</v>
      </c>
      <c r="G47" s="10" t="s">
        <v>87</v>
      </c>
      <c r="H47" s="10" t="s">
        <v>44</v>
      </c>
      <c r="I47" s="10" t="s">
        <v>88</v>
      </c>
      <c r="J47" s="10" t="s">
        <v>89</v>
      </c>
      <c r="R47" s="26" t="s">
        <v>77</v>
      </c>
      <c r="S47" s="12">
        <f>C42</f>
        <v>0</v>
      </c>
    </row>
    <row r="48" spans="1:25" ht="15.75" customHeight="1" x14ac:dyDescent="0.2">
      <c r="B48" s="10" t="s">
        <v>90</v>
      </c>
      <c r="C48" s="42" cm="1">
        <f t="array" ref="C48">MMULT(C43:V43,S47:S66)</f>
        <v>1.7171152559474202E-2</v>
      </c>
      <c r="D48" s="10" t="s">
        <v>91</v>
      </c>
      <c r="E48" s="43">
        <f>SQRT(C48)</f>
        <v>0.13103874449747374</v>
      </c>
      <c r="G48" s="57">
        <v>0.13103874449747374</v>
      </c>
      <c r="H48" s="57">
        <v>4.9467855871536799E-2</v>
      </c>
      <c r="I48" s="44">
        <v>0.13103874449747374</v>
      </c>
      <c r="J48" s="44">
        <v>4.9467855871536764E-2</v>
      </c>
      <c r="R48" s="26" t="s">
        <v>76</v>
      </c>
      <c r="S48" s="12">
        <f>D42</f>
        <v>0</v>
      </c>
    </row>
    <row r="49" spans="2:19" ht="15.75" customHeight="1" x14ac:dyDescent="0.2">
      <c r="G49" s="57">
        <v>0.14270322154423781</v>
      </c>
      <c r="H49" s="57">
        <v>5.5E-2</v>
      </c>
      <c r="R49" s="26" t="s">
        <v>75</v>
      </c>
      <c r="S49" s="12">
        <f>E42</f>
        <v>0</v>
      </c>
    </row>
    <row r="50" spans="2:19" ht="15.75" customHeight="1" x14ac:dyDescent="0.2">
      <c r="B50" s="10" t="s">
        <v>44</v>
      </c>
      <c r="G50" s="57">
        <v>0.15947944256008584</v>
      </c>
      <c r="H50" s="57">
        <v>0.06</v>
      </c>
      <c r="R50" s="26" t="s">
        <v>74</v>
      </c>
      <c r="S50" s="12">
        <f>F42</f>
        <v>0</v>
      </c>
    </row>
    <row r="51" spans="2:19" ht="15.75" customHeight="1" x14ac:dyDescent="0.2">
      <c r="B51" s="10" t="s">
        <v>92</v>
      </c>
      <c r="C51" s="17">
        <f>SUMPRODUCT(C42:V42,B39:U39)</f>
        <v>4.9467855871536764E-2</v>
      </c>
      <c r="G51" s="57">
        <v>0.17255720048362383</v>
      </c>
      <c r="H51" s="57">
        <v>6.5000000000000002E-2</v>
      </c>
      <c r="R51" s="26" t="s">
        <v>73</v>
      </c>
      <c r="S51" s="12">
        <f>G42</f>
        <v>0</v>
      </c>
    </row>
    <row r="52" spans="2:19" ht="15.75" customHeight="1" x14ac:dyDescent="0.2">
      <c r="B52" s="10" t="s">
        <v>93</v>
      </c>
      <c r="C52" s="14">
        <v>0</v>
      </c>
      <c r="G52" s="57">
        <v>0.18792806382915742</v>
      </c>
      <c r="H52" s="57">
        <v>7.0000000000000007E-2</v>
      </c>
      <c r="R52" s="26" t="s">
        <v>72</v>
      </c>
      <c r="S52" s="12">
        <f>H42</f>
        <v>0</v>
      </c>
    </row>
    <row r="53" spans="2:19" ht="15.75" customHeight="1" x14ac:dyDescent="0.2">
      <c r="B53" s="18"/>
      <c r="G53" s="57">
        <v>0.20555046431149021</v>
      </c>
      <c r="H53" s="57">
        <v>7.4999999999999997E-2</v>
      </c>
      <c r="R53" s="26" t="s">
        <v>71</v>
      </c>
      <c r="S53" s="12">
        <f>I42</f>
        <v>0</v>
      </c>
    </row>
    <row r="54" spans="2:19" ht="15.75" customHeight="1" x14ac:dyDescent="0.2">
      <c r="B54" s="10" t="s">
        <v>101</v>
      </c>
      <c r="C54" s="60" t="s">
        <v>107</v>
      </c>
      <c r="D54" s="60" t="s">
        <v>84</v>
      </c>
      <c r="E54" s="60" t="s">
        <v>108</v>
      </c>
      <c r="G54" s="57">
        <v>0.23001990430353589</v>
      </c>
      <c r="H54" s="57">
        <v>0.08</v>
      </c>
      <c r="R54" s="26" t="s">
        <v>70</v>
      </c>
      <c r="S54" s="12">
        <f>J42</f>
        <v>0.29999999999999993</v>
      </c>
    </row>
    <row r="55" spans="2:19" ht="15.75" customHeight="1" x14ac:dyDescent="0.2">
      <c r="B55" s="36" t="s">
        <v>102</v>
      </c>
      <c r="C55" s="40">
        <v>0.3</v>
      </c>
      <c r="D55" s="45" t="s">
        <v>106</v>
      </c>
      <c r="E55" s="40">
        <v>0.95</v>
      </c>
      <c r="G55" s="57">
        <v>0.27687774611980209</v>
      </c>
      <c r="H55" s="57">
        <v>8.5000000000000006E-2</v>
      </c>
      <c r="R55" s="25" t="s">
        <v>68</v>
      </c>
      <c r="S55" s="12">
        <f>K42</f>
        <v>0</v>
      </c>
    </row>
    <row r="56" spans="2:19" ht="15.75" customHeight="1" x14ac:dyDescent="0.2">
      <c r="B56" s="37" t="s">
        <v>103</v>
      </c>
      <c r="C56" s="40">
        <v>0.1</v>
      </c>
      <c r="D56" s="45" t="s">
        <v>106</v>
      </c>
      <c r="E56" s="40">
        <v>0.4</v>
      </c>
      <c r="G56" s="57">
        <v>0.30241049234089412</v>
      </c>
      <c r="H56" s="57">
        <v>9.3207563539922697E-2</v>
      </c>
      <c r="I56" s="10" t="s">
        <v>94</v>
      </c>
      <c r="R56" s="25" t="s">
        <v>67</v>
      </c>
      <c r="S56" s="12">
        <f>L42</f>
        <v>0</v>
      </c>
    </row>
    <row r="57" spans="2:19" ht="15.75" customHeight="1" x14ac:dyDescent="0.2">
      <c r="B57" s="38" t="s">
        <v>104</v>
      </c>
      <c r="C57" s="40">
        <v>0</v>
      </c>
      <c r="D57" s="45" t="s">
        <v>106</v>
      </c>
      <c r="E57" s="40">
        <v>0.7</v>
      </c>
      <c r="R57" s="25" t="s">
        <v>66</v>
      </c>
      <c r="S57" s="12">
        <f>M42</f>
        <v>0.40000000000000008</v>
      </c>
    </row>
    <row r="58" spans="2:19" ht="15.75" customHeight="1" x14ac:dyDescent="0.2">
      <c r="B58" s="39" t="s">
        <v>105</v>
      </c>
      <c r="C58" s="40">
        <v>0</v>
      </c>
      <c r="D58" s="45" t="s">
        <v>106</v>
      </c>
      <c r="E58" s="40">
        <v>0.2</v>
      </c>
      <c r="R58" s="25" t="s">
        <v>65</v>
      </c>
      <c r="S58" s="12">
        <f>N42</f>
        <v>0</v>
      </c>
    </row>
    <row r="59" spans="2:19" ht="15.75" customHeight="1" x14ac:dyDescent="0.2">
      <c r="B59" s="24"/>
      <c r="C59" s="24"/>
      <c r="D59" s="31"/>
      <c r="N59" s="11" t="s">
        <v>109</v>
      </c>
      <c r="R59" s="25" t="s">
        <v>64</v>
      </c>
      <c r="S59" s="12">
        <f>O42</f>
        <v>0</v>
      </c>
    </row>
    <row r="60" spans="2:19" ht="15.75" customHeight="1" x14ac:dyDescent="0.2">
      <c r="C60" s="24"/>
      <c r="D60" s="31"/>
      <c r="R60" s="27" t="s">
        <v>62</v>
      </c>
      <c r="S60" s="12">
        <f>P42</f>
        <v>0.29999999999999971</v>
      </c>
    </row>
    <row r="61" spans="2:19" ht="15.75" customHeight="1" x14ac:dyDescent="0.2">
      <c r="B61" s="60" t="s">
        <v>114</v>
      </c>
      <c r="C61" s="24"/>
      <c r="D61" s="31"/>
      <c r="R61" s="27" t="s">
        <v>61</v>
      </c>
      <c r="S61" s="12">
        <f>Q42</f>
        <v>0</v>
      </c>
    </row>
    <row r="62" spans="2:19" ht="15.75" customHeight="1" x14ac:dyDescent="0.2">
      <c r="B62" s="51" t="s">
        <v>111</v>
      </c>
      <c r="C62" s="70" t="s">
        <v>117</v>
      </c>
      <c r="D62" s="70"/>
      <c r="R62" s="27" t="s">
        <v>60</v>
      </c>
      <c r="S62" s="12">
        <f>R42</f>
        <v>0</v>
      </c>
    </row>
    <row r="63" spans="2:19" ht="15.75" customHeight="1" x14ac:dyDescent="0.2">
      <c r="B63" s="58" t="s">
        <v>112</v>
      </c>
      <c r="C63" s="71" t="s">
        <v>116</v>
      </c>
      <c r="D63" s="71"/>
      <c r="R63" s="27" t="s">
        <v>59</v>
      </c>
      <c r="S63" s="12">
        <f>S42</f>
        <v>0</v>
      </c>
    </row>
    <row r="64" spans="2:19" ht="15.75" customHeight="1" x14ac:dyDescent="0.2">
      <c r="B64" s="59" t="s">
        <v>113</v>
      </c>
      <c r="C64" s="72" t="s">
        <v>115</v>
      </c>
      <c r="D64" s="72"/>
      <c r="R64" s="28" t="s">
        <v>80</v>
      </c>
      <c r="S64" s="12">
        <f>T42</f>
        <v>0</v>
      </c>
    </row>
    <row r="65" spans="18:19" ht="15.75" customHeight="1" x14ac:dyDescent="0.2">
      <c r="R65" s="28" t="s">
        <v>79</v>
      </c>
      <c r="S65" s="12">
        <f>U42</f>
        <v>0</v>
      </c>
    </row>
    <row r="66" spans="18:19" ht="15.75" customHeight="1" x14ac:dyDescent="0.2">
      <c r="R66" s="29" t="s">
        <v>47</v>
      </c>
      <c r="S66" s="12">
        <f>V42</f>
        <v>0</v>
      </c>
    </row>
    <row r="67" spans="18:19" ht="15.75" customHeight="1" x14ac:dyDescent="0.2">
      <c r="R67" s="20"/>
      <c r="S67" s="31"/>
    </row>
    <row r="68" spans="18:19" ht="15.75" customHeight="1" x14ac:dyDescent="0.2">
      <c r="R68" s="20"/>
      <c r="S68" s="31"/>
    </row>
    <row r="69" spans="18:19" ht="15.75" customHeight="1" x14ac:dyDescent="0.2">
      <c r="R69" s="20"/>
      <c r="S69" s="31"/>
    </row>
  </sheetData>
  <mergeCells count="3">
    <mergeCell ref="C62:D62"/>
    <mergeCell ref="C63:D63"/>
    <mergeCell ref="C64:D6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9BD6-913C-A341-81F0-A83CE1F4EC78}">
  <dimension ref="C2:K12"/>
  <sheetViews>
    <sheetView tabSelected="1" workbookViewId="0">
      <selection activeCell="Q12" sqref="Q12"/>
    </sheetView>
  </sheetViews>
  <sheetFormatPr baseColWidth="10" defaultRowHeight="16" x14ac:dyDescent="0.2"/>
  <sheetData>
    <row r="2" spans="3:11" x14ac:dyDescent="0.2">
      <c r="C2" s="80" t="s">
        <v>129</v>
      </c>
      <c r="D2" s="80"/>
      <c r="H2" s="80" t="s">
        <v>130</v>
      </c>
      <c r="I2" s="80"/>
    </row>
    <row r="3" spans="3:11" x14ac:dyDescent="0.2">
      <c r="C3" s="10" t="s">
        <v>87</v>
      </c>
      <c r="D3" s="10" t="s">
        <v>44</v>
      </c>
      <c r="E3" s="10" t="s">
        <v>88</v>
      </c>
      <c r="F3" s="10" t="s">
        <v>89</v>
      </c>
      <c r="H3" s="10" t="s">
        <v>87</v>
      </c>
      <c r="I3" s="10" t="s">
        <v>44</v>
      </c>
      <c r="J3" s="10" t="s">
        <v>88</v>
      </c>
      <c r="K3" s="10" t="s">
        <v>89</v>
      </c>
    </row>
    <row r="4" spans="3:11" x14ac:dyDescent="0.2">
      <c r="C4" s="57">
        <v>0.10483440134538703</v>
      </c>
      <c r="D4" s="57">
        <v>4.947495897320222E-2</v>
      </c>
      <c r="E4" s="15">
        <v>0.10483440134538703</v>
      </c>
      <c r="F4" s="15">
        <v>4.947495897320222E-2</v>
      </c>
      <c r="H4" s="57">
        <v>0.13103874449747374</v>
      </c>
      <c r="I4" s="57">
        <v>4.9467855871536799E-2</v>
      </c>
      <c r="J4" s="44">
        <v>0.13103874449747374</v>
      </c>
      <c r="K4" s="44">
        <v>4.9467855871536764E-2</v>
      </c>
    </row>
    <row r="5" spans="3:11" x14ac:dyDescent="0.2">
      <c r="C5" s="57">
        <v>0.11997431307270325</v>
      </c>
      <c r="D5" s="57">
        <v>5.5E-2</v>
      </c>
      <c r="E5" s="11"/>
      <c r="F5" s="11"/>
      <c r="H5" s="57">
        <v>0.14270322154423781</v>
      </c>
      <c r="I5" s="57">
        <v>5.5E-2</v>
      </c>
      <c r="J5" s="11"/>
      <c r="K5" s="11"/>
    </row>
    <row r="6" spans="3:11" x14ac:dyDescent="0.2">
      <c r="C6" s="57">
        <v>0.13509376643122983</v>
      </c>
      <c r="D6" s="57">
        <v>0.06</v>
      </c>
      <c r="E6" s="11"/>
      <c r="F6" s="11"/>
      <c r="H6" s="57">
        <v>0.15947944256008584</v>
      </c>
      <c r="I6" s="57">
        <v>0.06</v>
      </c>
      <c r="J6" s="11"/>
      <c r="K6" s="11"/>
    </row>
    <row r="7" spans="3:11" x14ac:dyDescent="0.2">
      <c r="C7" s="57">
        <v>0.14968070129669239</v>
      </c>
      <c r="D7" s="57">
        <v>6.5000000000000002E-2</v>
      </c>
      <c r="E7" s="11"/>
      <c r="F7" s="11"/>
      <c r="H7" s="57">
        <v>0.17255720048362383</v>
      </c>
      <c r="I7" s="57">
        <v>6.5000000000000002E-2</v>
      </c>
      <c r="J7" s="11"/>
      <c r="K7" s="11"/>
    </row>
    <row r="8" spans="3:11" x14ac:dyDescent="0.2">
      <c r="C8" s="57">
        <v>0.16610477502921792</v>
      </c>
      <c r="D8" s="57">
        <v>7.0000000000000007E-2</v>
      </c>
      <c r="E8" s="11"/>
      <c r="F8" s="11"/>
      <c r="H8" s="57">
        <v>0.18792806382915742</v>
      </c>
      <c r="I8" s="57">
        <v>7.0000000000000007E-2</v>
      </c>
      <c r="J8" s="11"/>
      <c r="K8" s="11"/>
    </row>
    <row r="9" spans="3:11" x14ac:dyDescent="0.2">
      <c r="C9" s="57">
        <v>0.18261295888648726</v>
      </c>
      <c r="D9" s="57">
        <v>7.4999999999999997E-2</v>
      </c>
      <c r="E9" s="11"/>
      <c r="F9" s="11"/>
      <c r="H9" s="57">
        <v>0.20555046431149021</v>
      </c>
      <c r="I9" s="57">
        <v>7.4999999999999997E-2</v>
      </c>
      <c r="J9" s="11"/>
      <c r="K9" s="11"/>
    </row>
    <row r="10" spans="3:11" x14ac:dyDescent="0.2">
      <c r="C10" s="57">
        <v>0.20059707568225937</v>
      </c>
      <c r="D10" s="57">
        <v>0.08</v>
      </c>
      <c r="E10" s="11"/>
      <c r="F10" s="11"/>
      <c r="H10" s="57">
        <v>0.23001990430353589</v>
      </c>
      <c r="I10" s="57">
        <v>0.08</v>
      </c>
      <c r="J10" s="11"/>
      <c r="K10" s="11"/>
    </row>
    <row r="11" spans="3:11" x14ac:dyDescent="0.2">
      <c r="C11" s="57">
        <v>0.22179620389577462</v>
      </c>
      <c r="D11" s="57">
        <v>8.5000000000000006E-2</v>
      </c>
      <c r="E11" s="11"/>
      <c r="F11" s="11"/>
      <c r="H11" s="57">
        <v>0.27687774611980209</v>
      </c>
      <c r="I11" s="57">
        <v>8.5000000000000006E-2</v>
      </c>
      <c r="J11" s="11"/>
      <c r="K11" s="11"/>
    </row>
    <row r="12" spans="3:11" x14ac:dyDescent="0.2">
      <c r="C12" s="57">
        <v>0.25756701028693263</v>
      </c>
      <c r="D12" s="57">
        <v>9.3207563539922725E-2</v>
      </c>
      <c r="E12" s="10" t="s">
        <v>94</v>
      </c>
      <c r="F12" s="11"/>
      <c r="H12" s="57">
        <v>0.30241049234089412</v>
      </c>
      <c r="I12" s="57">
        <v>9.3207563539922697E-2</v>
      </c>
      <c r="J12" s="10" t="s">
        <v>94</v>
      </c>
      <c r="K12" s="11"/>
    </row>
  </sheetData>
  <mergeCells count="2">
    <mergeCell ref="C2:D2"/>
    <mergeCell ref="H2:I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2E6E-831A-2440-9551-E2319437383B}">
  <dimension ref="A1:AA69"/>
  <sheetViews>
    <sheetView zoomScale="73" zoomScaleNormal="73" workbookViewId="0">
      <selection activeCell="K60" sqref="K60"/>
    </sheetView>
  </sheetViews>
  <sheetFormatPr baseColWidth="10" defaultColWidth="14.5" defaultRowHeight="15.75" customHeight="1" x14ac:dyDescent="0.15"/>
  <cols>
    <col min="1" max="1" width="14.5" style="11"/>
    <col min="2" max="2" width="20.83203125" style="11" customWidth="1"/>
    <col min="3" max="3" width="15.83203125" style="11" customWidth="1"/>
    <col min="4" max="4" width="16" style="11" customWidth="1"/>
    <col min="5" max="10" width="14.5" style="11"/>
    <col min="11" max="11" width="16.5" style="11" customWidth="1"/>
    <col min="12" max="12" width="14.5" style="11" customWidth="1"/>
    <col min="13" max="16384" width="14.5" style="11"/>
  </cols>
  <sheetData>
    <row r="1" spans="1:27" ht="15.75" customHeight="1" x14ac:dyDescent="0.2">
      <c r="A1" s="180" t="s">
        <v>99</v>
      </c>
      <c r="B1" s="1" t="s">
        <v>77</v>
      </c>
      <c r="C1" s="1" t="s">
        <v>76</v>
      </c>
      <c r="D1" s="1" t="s">
        <v>75</v>
      </c>
      <c r="E1" s="1" t="s">
        <v>74</v>
      </c>
      <c r="F1" s="1" t="s">
        <v>73</v>
      </c>
      <c r="G1" s="1" t="s">
        <v>72</v>
      </c>
      <c r="H1" s="1" t="s">
        <v>71</v>
      </c>
      <c r="I1" s="1" t="s">
        <v>70</v>
      </c>
      <c r="J1" s="2" t="s">
        <v>68</v>
      </c>
      <c r="K1" s="2" t="s">
        <v>67</v>
      </c>
      <c r="L1" s="2" t="s">
        <v>66</v>
      </c>
      <c r="M1" s="2" t="s">
        <v>65</v>
      </c>
      <c r="N1" s="2" t="s">
        <v>64</v>
      </c>
      <c r="O1" s="3" t="s">
        <v>62</v>
      </c>
      <c r="P1" s="3" t="s">
        <v>61</v>
      </c>
      <c r="Q1" s="3" t="s">
        <v>60</v>
      </c>
      <c r="R1" s="3" t="s">
        <v>59</v>
      </c>
      <c r="S1" s="4" t="s">
        <v>80</v>
      </c>
      <c r="T1" s="4" t="s">
        <v>79</v>
      </c>
      <c r="U1" s="4" t="s">
        <v>47</v>
      </c>
      <c r="V1" s="20"/>
      <c r="W1" s="33" t="s">
        <v>46</v>
      </c>
      <c r="X1" s="20"/>
      <c r="Y1" s="20"/>
      <c r="Z1" s="20"/>
      <c r="AA1" s="20"/>
    </row>
    <row r="2" spans="1:27" ht="15.75" customHeight="1" x14ac:dyDescent="0.2">
      <c r="A2" s="180" t="s">
        <v>98</v>
      </c>
      <c r="B2" s="5">
        <v>2.013564167484019E-2</v>
      </c>
      <c r="C2" s="5">
        <v>2.3392871692271392E-2</v>
      </c>
      <c r="D2" s="5">
        <v>2.1898284278740424E-2</v>
      </c>
      <c r="E2" s="5">
        <v>2.6663219709673881E-2</v>
      </c>
      <c r="F2" s="5">
        <v>-5.9279467113460861E-3</v>
      </c>
      <c r="G2" s="5">
        <v>3.5551052506718001E-2</v>
      </c>
      <c r="H2" s="5">
        <v>2.3273062168987967E-2</v>
      </c>
      <c r="I2" s="5">
        <v>6.527319652524223E-2</v>
      </c>
      <c r="J2" s="6">
        <v>5.2099207728434852E-3</v>
      </c>
      <c r="K2" s="6">
        <v>4.8335783581300716E-2</v>
      </c>
      <c r="L2" s="6">
        <v>7.4349554466937445E-3</v>
      </c>
      <c r="M2" s="6">
        <v>-3.3727917144269234E-3</v>
      </c>
      <c r="N2" s="6">
        <v>8.8539492433403772E-3</v>
      </c>
      <c r="O2" s="7">
        <v>5.2842108199068058E-3</v>
      </c>
      <c r="P2" s="7">
        <v>-7.0507258737831837E-3</v>
      </c>
      <c r="Q2" s="7">
        <v>-1.2940664358544986E-2</v>
      </c>
      <c r="R2" s="7">
        <v>-1.7561314937973665E-2</v>
      </c>
      <c r="S2" s="8">
        <v>1.0113430765119761E-2</v>
      </c>
      <c r="T2" s="8">
        <v>-1.7080732033257742E-2</v>
      </c>
      <c r="U2" s="8">
        <v>3.203546691905889E-2</v>
      </c>
      <c r="V2" s="21"/>
      <c r="W2" s="32">
        <v>1.7859381799140144E-2</v>
      </c>
      <c r="X2" s="21"/>
      <c r="Y2" s="21"/>
      <c r="Z2" s="22"/>
      <c r="AA2" s="20"/>
    </row>
    <row r="3" spans="1:27" ht="15.75" customHeight="1" x14ac:dyDescent="0.2">
      <c r="B3" s="5">
        <v>-9.1761054711402529E-2</v>
      </c>
      <c r="C3" s="5">
        <v>-9.8025633086891856E-2</v>
      </c>
      <c r="D3" s="5">
        <v>-0.111121121519608</v>
      </c>
      <c r="E3" s="5">
        <v>-9.0855570486977691E-2</v>
      </c>
      <c r="F3" s="5">
        <v>-0.11052319159627597</v>
      </c>
      <c r="G3" s="5">
        <v>-8.664754630560538E-2</v>
      </c>
      <c r="H3" s="5">
        <v>-8.8754558392168559E-2</v>
      </c>
      <c r="I3" s="5">
        <v>-9.1387838867146479E-2</v>
      </c>
      <c r="J3" s="6">
        <v>-5.4022923286427611E-2</v>
      </c>
      <c r="K3" s="6">
        <v>-3.3449906350072708E-2</v>
      </c>
      <c r="L3" s="6">
        <v>-5.0489939124240782E-2</v>
      </c>
      <c r="M3" s="6">
        <v>-6.2857087717331298E-2</v>
      </c>
      <c r="N3" s="6">
        <v>-4.1566704060379288E-2</v>
      </c>
      <c r="O3" s="7">
        <v>1.5302993520493425E-2</v>
      </c>
      <c r="P3" s="7">
        <v>-2.1294341324950856E-2</v>
      </c>
      <c r="Q3" s="7">
        <v>1.3770780711394507E-2</v>
      </c>
      <c r="R3" s="7">
        <v>9.2931442891963853E-3</v>
      </c>
      <c r="S3" s="8">
        <v>-9.5157767906625015E-2</v>
      </c>
      <c r="T3" s="8">
        <v>-8.2211878412080927E-2</v>
      </c>
      <c r="U3" s="8">
        <v>-4.4112867484118745E-2</v>
      </c>
      <c r="V3" s="21"/>
      <c r="W3" s="32">
        <v>-9.1776955767217297E-2</v>
      </c>
      <c r="X3" s="20"/>
      <c r="Y3" s="20"/>
      <c r="Z3" s="20"/>
      <c r="AA3" s="20"/>
    </row>
    <row r="4" spans="1:27" ht="15.75" customHeight="1" x14ac:dyDescent="0.2">
      <c r="B4" s="5">
        <v>8.5402381100873351E-2</v>
      </c>
      <c r="C4" s="5">
        <v>0.10471827075701169</v>
      </c>
      <c r="D4" s="5">
        <v>0.11712964599857797</v>
      </c>
      <c r="E4" s="5">
        <v>9.4755476096627003E-2</v>
      </c>
      <c r="F4" s="5">
        <v>9.8387497782781441E-2</v>
      </c>
      <c r="G4" s="5">
        <v>6.1033573948521679E-2</v>
      </c>
      <c r="H4" s="5">
        <v>0.10085121658195075</v>
      </c>
      <c r="I4" s="5">
        <v>5.9340364897329592E-2</v>
      </c>
      <c r="J4" s="6">
        <v>7.1957530335474681E-2</v>
      </c>
      <c r="K4" s="6">
        <v>9.658782690288524E-2</v>
      </c>
      <c r="L4" s="6">
        <v>6.1676722474561976E-2</v>
      </c>
      <c r="M4" s="6">
        <v>8.0475471575996244E-2</v>
      </c>
      <c r="N4" s="6">
        <v>7.0375171097518854E-2</v>
      </c>
      <c r="O4" s="7">
        <v>1.5530912169783188E-2</v>
      </c>
      <c r="P4" s="7">
        <v>4.9409076645030983E-2</v>
      </c>
      <c r="Q4" s="7">
        <v>2.918282012659373E-2</v>
      </c>
      <c r="R4" s="7">
        <v>2.3395434307152789E-2</v>
      </c>
      <c r="S4" s="8">
        <v>7.1385125370777236E-2</v>
      </c>
      <c r="T4" s="8">
        <v>0.14658666529834194</v>
      </c>
      <c r="U4" s="8">
        <v>0.14164603324469791</v>
      </c>
      <c r="V4" s="20"/>
      <c r="W4" s="32">
        <v>7.8684404731036967E-2</v>
      </c>
      <c r="X4" s="21"/>
      <c r="Y4" s="20"/>
      <c r="Z4" s="20"/>
      <c r="AA4" s="20"/>
    </row>
    <row r="5" spans="1:27" ht="15.75" customHeight="1" x14ac:dyDescent="0.2">
      <c r="B5" s="5">
        <v>3.5587944660296397E-2</v>
      </c>
      <c r="C5" s="5">
        <v>4.2581103367740271E-2</v>
      </c>
      <c r="D5" s="5">
        <v>4.8559230839563469E-2</v>
      </c>
      <c r="E5" s="5">
        <v>4.4093867518441299E-2</v>
      </c>
      <c r="F5" s="5">
        <v>1.8943670213298042E-2</v>
      </c>
      <c r="G5" s="5">
        <v>3.7703857341636053E-2</v>
      </c>
      <c r="H5" s="5">
        <v>1.5026780805780347E-2</v>
      </c>
      <c r="I5" s="5">
        <v>1.639897794929282E-2</v>
      </c>
      <c r="J5" s="6">
        <v>2.4021044599120564E-2</v>
      </c>
      <c r="K5" s="6">
        <v>-3.8296917194582856E-3</v>
      </c>
      <c r="L5" s="6">
        <v>3.3410483387431564E-2</v>
      </c>
      <c r="M5" s="6">
        <v>5.9243426725115716E-3</v>
      </c>
      <c r="N5" s="6">
        <v>1.5606851488399187E-2</v>
      </c>
      <c r="O5" s="7">
        <v>1.035134592723777E-3</v>
      </c>
      <c r="P5" s="7">
        <v>1.5010679796632722E-2</v>
      </c>
      <c r="Q5" s="7">
        <v>6.008247994884682E-3</v>
      </c>
      <c r="R5" s="7">
        <v>1.2340873073822227E-2</v>
      </c>
      <c r="S5" s="8">
        <v>5.0279690438092273E-2</v>
      </c>
      <c r="T5" s="8">
        <v>-4.1103701429796094E-2</v>
      </c>
      <c r="U5" s="8">
        <v>4.6414171231020365E-3</v>
      </c>
      <c r="V5" s="21"/>
      <c r="W5" s="32">
        <v>2.9728930143115964E-2</v>
      </c>
      <c r="X5" s="20"/>
      <c r="Y5" s="20"/>
      <c r="Z5" s="20"/>
      <c r="AA5" s="20"/>
    </row>
    <row r="6" spans="1:27" ht="15.75" customHeight="1" x14ac:dyDescent="0.2">
      <c r="B6" s="5">
        <v>1.4167672941832592E-2</v>
      </c>
      <c r="C6" s="5">
        <v>1.3529286926994814E-2</v>
      </c>
      <c r="D6" s="5">
        <v>-8.5803285638009312E-3</v>
      </c>
      <c r="E6" s="5">
        <v>1.6683683083300791E-2</v>
      </c>
      <c r="F6" s="5">
        <v>-9.5208703052639728E-3</v>
      </c>
      <c r="G6" s="5">
        <v>5.2353703452140002E-3</v>
      </c>
      <c r="H6" s="5">
        <v>2.7674922719434118E-2</v>
      </c>
      <c r="I6" s="5">
        <v>3.8264212119637903E-3</v>
      </c>
      <c r="J6" s="6">
        <v>6.1055865536391975E-3</v>
      </c>
      <c r="K6" s="6">
        <v>2.3148305876547183E-2</v>
      </c>
      <c r="L6" s="6">
        <v>2.2037337734516962E-2</v>
      </c>
      <c r="M6" s="6">
        <v>-7.5698963537734146E-4</v>
      </c>
      <c r="N6" s="6">
        <v>2.1617996681226564E-3</v>
      </c>
      <c r="O6" s="7">
        <v>1.9336132465499756E-2</v>
      </c>
      <c r="P6" s="7">
        <v>9.9693848557190351E-3</v>
      </c>
      <c r="Q6" s="7">
        <v>7.8449641737626079E-3</v>
      </c>
      <c r="R6" s="7">
        <v>-3.9967891079185263E-3</v>
      </c>
      <c r="S6" s="8">
        <v>1.2047566110169279E-2</v>
      </c>
      <c r="T6" s="8">
        <v>1.6050624569280646E-3</v>
      </c>
      <c r="U6" s="8">
        <v>4.1976312833832484E-2</v>
      </c>
      <c r="V6" s="21"/>
      <c r="W6" s="32">
        <v>1.7924287751078408E-2</v>
      </c>
      <c r="X6" s="20"/>
      <c r="Y6" s="20"/>
      <c r="Z6" s="20"/>
      <c r="AA6" s="20"/>
    </row>
    <row r="7" spans="1:27" ht="15.75" customHeight="1" x14ac:dyDescent="0.2">
      <c r="B7" s="5">
        <v>3.9250790414816508E-2</v>
      </c>
      <c r="C7" s="5">
        <v>3.7137855019863067E-2</v>
      </c>
      <c r="D7" s="5">
        <v>3.5863902683246851E-2</v>
      </c>
      <c r="E7" s="5">
        <v>0.14328428269882471</v>
      </c>
      <c r="F7" s="5">
        <v>3.4184582552419338E-2</v>
      </c>
      <c r="G7" s="5">
        <v>2.8367843981603046E-2</v>
      </c>
      <c r="H7" s="5">
        <v>5.1041046780850093E-2</v>
      </c>
      <c r="I7" s="5">
        <v>-2.6959033749335878E-2</v>
      </c>
      <c r="J7" s="6">
        <v>2.8744582514147958E-2</v>
      </c>
      <c r="K7" s="6">
        <v>2.1411963606725121E-2</v>
      </c>
      <c r="L7" s="6">
        <v>3.4990613913253879E-2</v>
      </c>
      <c r="M7" s="6">
        <v>1.7177449901737953E-2</v>
      </c>
      <c r="N7" s="6">
        <v>2.8425960344369925E-2</v>
      </c>
      <c r="O7" s="7">
        <v>2.4170414193380833E-3</v>
      </c>
      <c r="P7" s="7">
        <v>1.4951046181946643E-2</v>
      </c>
      <c r="Q7" s="7">
        <v>-2.2520301795710289E-4</v>
      </c>
      <c r="R7" s="7">
        <v>1.2038482599886966E-2</v>
      </c>
      <c r="S7" s="8">
        <v>-2.8668156457547191E-2</v>
      </c>
      <c r="T7" s="8">
        <v>3.9923455211362105E-2</v>
      </c>
      <c r="U7" s="8">
        <v>-5.3730284452076608E-3</v>
      </c>
      <c r="V7" s="23"/>
      <c r="W7" s="32">
        <v>3.9313434942139368E-2</v>
      </c>
      <c r="X7" s="23"/>
      <c r="Y7" s="23"/>
      <c r="Z7" s="23"/>
      <c r="AA7" s="23"/>
    </row>
    <row r="8" spans="1:27" ht="15.75" customHeight="1" x14ac:dyDescent="0.2">
      <c r="B8" s="5">
        <v>-6.4498856732394999E-2</v>
      </c>
      <c r="C8" s="5">
        <v>-6.0580455730529635E-2</v>
      </c>
      <c r="D8" s="5">
        <v>-7.1771422450588415E-2</v>
      </c>
      <c r="E8" s="5">
        <v>-6.0694927021616892E-2</v>
      </c>
      <c r="F8" s="5">
        <v>-9.6016367541524386E-2</v>
      </c>
      <c r="G8" s="5">
        <v>-6.3117328211804727E-2</v>
      </c>
      <c r="H8" s="5">
        <v>-7.896937122383875E-2</v>
      </c>
      <c r="I8" s="5">
        <v>-2.6753652315065359E-2</v>
      </c>
      <c r="J8" s="6">
        <v>-5.2157621775577728E-2</v>
      </c>
      <c r="K8" s="6">
        <v>-6.3810271080476461E-2</v>
      </c>
      <c r="L8" s="6">
        <v>-4.2040942913598126E-2</v>
      </c>
      <c r="M8" s="6">
        <v>-7.3675847575170428E-2</v>
      </c>
      <c r="N8" s="6">
        <v>-5.3363197664096633E-2</v>
      </c>
      <c r="O8" s="7">
        <v>1.509714457963395E-2</v>
      </c>
      <c r="P8" s="7">
        <v>-1.0827392435436557E-2</v>
      </c>
      <c r="Q8" s="7">
        <v>-1.0945911881208078E-2</v>
      </c>
      <c r="R8" s="7">
        <v>-1.9230847526081136E-2</v>
      </c>
      <c r="S8" s="8">
        <v>-7.0668175664731103E-2</v>
      </c>
      <c r="T8" s="8">
        <v>-0.15962949971055712</v>
      </c>
      <c r="U8" s="8">
        <v>2.7010606883397258E-2</v>
      </c>
      <c r="V8" s="24"/>
      <c r="W8" s="32">
        <v>-6.5777726481161508E-2</v>
      </c>
      <c r="X8" s="24"/>
      <c r="Y8" s="24"/>
      <c r="Z8" s="24"/>
      <c r="AA8" s="24"/>
    </row>
    <row r="9" spans="1:27" ht="15.75" customHeight="1" x14ac:dyDescent="0.2">
      <c r="B9" s="5">
        <v>7.0780583375414888E-2</v>
      </c>
      <c r="C9" s="5">
        <v>7.1010116822367894E-2</v>
      </c>
      <c r="D9" s="5">
        <v>6.9689174222583736E-2</v>
      </c>
      <c r="E9" s="5">
        <v>7.3475490591439568E-2</v>
      </c>
      <c r="F9" s="5">
        <v>9.569794509845253E-2</v>
      </c>
      <c r="G9" s="5">
        <v>6.6443621138674885E-2</v>
      </c>
      <c r="H9" s="5">
        <v>7.7568828117611371E-2</v>
      </c>
      <c r="I9" s="5">
        <v>7.1989839001029898E-2</v>
      </c>
      <c r="J9" s="6">
        <v>5.9591161251872818E-2</v>
      </c>
      <c r="K9" s="6">
        <v>5.3718491551580809E-2</v>
      </c>
      <c r="L9" s="6">
        <v>6.485794735014512E-2</v>
      </c>
      <c r="M9" s="6">
        <v>5.2624997005342539E-2</v>
      </c>
      <c r="N9" s="6">
        <v>5.3720490995725387E-2</v>
      </c>
      <c r="O9" s="7">
        <v>1.4776505904973687E-2</v>
      </c>
      <c r="P9" s="7">
        <v>2.7245509098725054E-2</v>
      </c>
      <c r="Q9" s="7">
        <v>3.3051182766878365E-2</v>
      </c>
      <c r="R9" s="7">
        <v>3.9417804316777924E-2</v>
      </c>
      <c r="S9" s="8">
        <v>7.0140348077603207E-2</v>
      </c>
      <c r="T9" s="8">
        <v>0.15206270132200655</v>
      </c>
      <c r="U9" s="8">
        <v>-2.0317144222260743E-2</v>
      </c>
      <c r="V9" s="24"/>
      <c r="W9" s="32">
        <v>6.8930183208215035E-2</v>
      </c>
      <c r="X9" s="24"/>
      <c r="Y9" s="24"/>
      <c r="Z9" s="24"/>
      <c r="AA9" s="24"/>
    </row>
    <row r="10" spans="1:27" ht="15.75" customHeight="1" x14ac:dyDescent="0.2">
      <c r="B10" s="5">
        <v>1.4125120060408771E-2</v>
      </c>
      <c r="C10" s="5">
        <v>1.3101356213947079E-2</v>
      </c>
      <c r="D10" s="5">
        <v>1.2000213126626776E-2</v>
      </c>
      <c r="E10" s="5">
        <v>1.2621592340825227E-2</v>
      </c>
      <c r="F10" s="5">
        <v>1.6011971528405174E-2</v>
      </c>
      <c r="G10" s="5">
        <v>7.2099111710274234E-3</v>
      </c>
      <c r="H10" s="5">
        <v>1.1595048098576009E-2</v>
      </c>
      <c r="I10" s="5">
        <v>-1.3050309898924951E-2</v>
      </c>
      <c r="J10" s="6">
        <v>-1.9632322285874269E-2</v>
      </c>
      <c r="K10" s="6">
        <v>-1.8104648699965222E-2</v>
      </c>
      <c r="L10" s="6">
        <v>-1.1390357727471431E-2</v>
      </c>
      <c r="M10" s="6">
        <v>-2.082406830410934E-2</v>
      </c>
      <c r="N10" s="6">
        <v>-2.6881810109430242E-2</v>
      </c>
      <c r="O10" s="7">
        <v>2.3571246723555306E-3</v>
      </c>
      <c r="P10" s="7">
        <v>4.4564918197423937E-3</v>
      </c>
      <c r="Q10" s="7">
        <v>-1.3418341127945224E-2</v>
      </c>
      <c r="R10" s="7">
        <v>-1.9642119010106238E-2</v>
      </c>
      <c r="S10" s="8">
        <v>-2.2288070662231551E-2</v>
      </c>
      <c r="T10" s="8">
        <v>-7.2549338467662552E-2</v>
      </c>
      <c r="U10" s="8">
        <v>3.0732143989962758E-2</v>
      </c>
      <c r="V10" s="24"/>
      <c r="W10" s="32">
        <v>1.312819536603934E-2</v>
      </c>
      <c r="X10" s="24"/>
      <c r="Y10" s="24"/>
      <c r="Z10" s="20"/>
      <c r="AA10" s="20"/>
    </row>
    <row r="11" spans="1:27" ht="15.75" customHeight="1" x14ac:dyDescent="0.2">
      <c r="B11" s="5">
        <v>-2.0826770418676366E-2</v>
      </c>
      <c r="C11" s="5">
        <v>-2.7576176980503634E-2</v>
      </c>
      <c r="D11" s="5">
        <v>-3.9674584943703711E-2</v>
      </c>
      <c r="E11" s="5">
        <v>-1.6778580076827278E-2</v>
      </c>
      <c r="F11" s="5">
        <v>-4.5217683298285266E-2</v>
      </c>
      <c r="G11" s="5">
        <v>-2.1020431344274001E-2</v>
      </c>
      <c r="H11" s="5">
        <v>-1.7358461272383031E-2</v>
      </c>
      <c r="I11" s="5">
        <v>-1.1767143401925887E-2</v>
      </c>
      <c r="J11" s="6">
        <v>-1.8753707209999797E-2</v>
      </c>
      <c r="K11" s="6">
        <v>-3.2567109888594091E-2</v>
      </c>
      <c r="L11" s="6">
        <v>-5.5103325628759964E-3</v>
      </c>
      <c r="M11" s="6">
        <v>-3.5445042217287372E-2</v>
      </c>
      <c r="N11" s="6">
        <v>-3.4488336093239064E-2</v>
      </c>
      <c r="O11" s="7">
        <v>2.324590463706545E-2</v>
      </c>
      <c r="P11" s="7">
        <v>9.5835561104707489E-3</v>
      </c>
      <c r="Q11" s="7">
        <v>8.8005907760509844E-3</v>
      </c>
      <c r="R11" s="7">
        <v>3.9678611395260272E-4</v>
      </c>
      <c r="S11" s="8">
        <v>-7.2789109683028944E-2</v>
      </c>
      <c r="T11" s="8">
        <v>4.5102441956623378E-2</v>
      </c>
      <c r="U11" s="8">
        <v>0.103770909106303</v>
      </c>
      <c r="W11" s="32">
        <v>-1.8091652742267789E-2</v>
      </c>
    </row>
    <row r="12" spans="1:27" ht="15.75" customHeight="1" x14ac:dyDescent="0.2">
      <c r="B12" s="5">
        <v>1.7792803771508825E-2</v>
      </c>
      <c r="C12" s="5">
        <v>2.0970813239814031E-2</v>
      </c>
      <c r="D12" s="5">
        <v>1.3667671114937685E-2</v>
      </c>
      <c r="E12" s="5">
        <v>-1.2189368597197553E-2</v>
      </c>
      <c r="F12" s="5">
        <v>4.8549395891545125E-2</v>
      </c>
      <c r="G12" s="5">
        <v>3.8954588304293922E-2</v>
      </c>
      <c r="H12" s="5">
        <v>1.3397384884376088E-2</v>
      </c>
      <c r="I12" s="5">
        <v>-7.9013047909181656E-3</v>
      </c>
      <c r="J12" s="6">
        <v>3.2069732876880711E-2</v>
      </c>
      <c r="K12" s="6">
        <v>9.109080194273542E-3</v>
      </c>
      <c r="L12" s="6">
        <v>1.3852225901488211E-2</v>
      </c>
      <c r="M12" s="6">
        <v>4.685317651186615E-2</v>
      </c>
      <c r="N12" s="6">
        <v>4.1206643633801228E-2</v>
      </c>
      <c r="O12" s="7">
        <v>-3.866576837758766E-3</v>
      </c>
      <c r="P12" s="7">
        <v>4.2625336091215854E-3</v>
      </c>
      <c r="Q12" s="7">
        <v>-7.9514433206052601E-3</v>
      </c>
      <c r="R12" s="7">
        <v>-9.3199608909405596E-3</v>
      </c>
      <c r="S12" s="8">
        <v>4.3523101536119248E-2</v>
      </c>
      <c r="T12" s="8">
        <v>6.2331577714743465E-2</v>
      </c>
      <c r="U12" s="8">
        <v>-6.1660720881550189E-5</v>
      </c>
      <c r="W12" s="32">
        <v>1.7181167690656883E-2</v>
      </c>
    </row>
    <row r="13" spans="1:27" ht="15.75" customHeight="1" x14ac:dyDescent="0.2">
      <c r="B13" s="5">
        <v>2.1060071251610458E-2</v>
      </c>
      <c r="C13" s="5">
        <v>1.1098214643067017E-2</v>
      </c>
      <c r="D13" s="5">
        <v>1.650484334821695E-2</v>
      </c>
      <c r="E13" s="5">
        <v>2.5419733448725831E-2</v>
      </c>
      <c r="F13" s="5">
        <v>2.8400774248799623E-2</v>
      </c>
      <c r="G13" s="5">
        <v>1.0481276068404115E-2</v>
      </c>
      <c r="H13" s="5">
        <v>7.1065244979634373E-3</v>
      </c>
      <c r="I13" s="5">
        <v>4.7829498532662766E-2</v>
      </c>
      <c r="J13" s="6">
        <v>3.1387585204588689E-2</v>
      </c>
      <c r="K13" s="6">
        <v>3.9493334461624854E-2</v>
      </c>
      <c r="L13" s="6">
        <v>3.2666690748798348E-2</v>
      </c>
      <c r="M13" s="6">
        <v>3.905205144696311E-2</v>
      </c>
      <c r="N13" s="6">
        <v>3.3002220959736102E-2</v>
      </c>
      <c r="O13" s="7">
        <v>4.5210736947901191E-3</v>
      </c>
      <c r="P13" s="7">
        <v>6.1315843934347898E-3</v>
      </c>
      <c r="Q13" s="7">
        <v>2.5883421174265991E-2</v>
      </c>
      <c r="R13" s="7">
        <v>2.3418803770125965E-2</v>
      </c>
      <c r="S13" s="8">
        <v>-2.9235911602437686E-2</v>
      </c>
      <c r="T13" s="8">
        <v>0.10053295731235834</v>
      </c>
      <c r="U13" s="8">
        <v>8.2598301068625465E-2</v>
      </c>
      <c r="W13" s="32">
        <v>2.0431747482144953E-2</v>
      </c>
    </row>
    <row r="14" spans="1:27" ht="15.75" customHeight="1" x14ac:dyDescent="0.2">
      <c r="B14" s="5">
        <v>3.7877539095742256E-2</v>
      </c>
      <c r="C14" s="5">
        <v>3.221971792902744E-2</v>
      </c>
      <c r="D14" s="5">
        <v>4.1999843661628573E-2</v>
      </c>
      <c r="E14" s="5">
        <v>5.1263509694157924E-2</v>
      </c>
      <c r="F14" s="5">
        <v>3.6979920469634379E-2</v>
      </c>
      <c r="G14" s="5">
        <v>2.3421917622440485E-2</v>
      </c>
      <c r="H14" s="5">
        <v>1.863298182348026E-2</v>
      </c>
      <c r="I14" s="5">
        <v>6.1297776904806651E-2</v>
      </c>
      <c r="J14" s="6">
        <v>1.247704408690329E-2</v>
      </c>
      <c r="K14" s="6">
        <v>5.0178265883753072E-3</v>
      </c>
      <c r="L14" s="6">
        <v>1.8041808841666191E-2</v>
      </c>
      <c r="M14" s="6">
        <v>1.3175886138934143E-2</v>
      </c>
      <c r="N14" s="6">
        <v>7.3350212849422362E-3</v>
      </c>
      <c r="O14" s="7">
        <v>-3.60037310129914E-4</v>
      </c>
      <c r="P14" s="7">
        <v>5.9503642607866662E-3</v>
      </c>
      <c r="Q14" s="7">
        <v>-7.7801685938253427E-3</v>
      </c>
      <c r="R14" s="7">
        <v>-9.7779586056379129E-4</v>
      </c>
      <c r="S14" s="8">
        <v>4.1592632069383163E-2</v>
      </c>
      <c r="T14" s="8">
        <v>3.1100432461244453E-2</v>
      </c>
      <c r="U14" s="8">
        <v>5.1849720025138307E-3</v>
      </c>
      <c r="W14" s="32">
        <v>3.4047064090915104E-2</v>
      </c>
    </row>
    <row r="15" spans="1:27" ht="15.75" customHeight="1" x14ac:dyDescent="0.2">
      <c r="B15" s="5">
        <v>2.8041389667045211E-2</v>
      </c>
      <c r="C15" s="5">
        <v>2.4321878303881602E-2</v>
      </c>
      <c r="D15" s="5">
        <v>2.1668346701112038E-2</v>
      </c>
      <c r="E15" s="5">
        <v>2.5204759712427183E-2</v>
      </c>
      <c r="F15" s="5">
        <v>3.2663490073820321E-2</v>
      </c>
      <c r="G15" s="5">
        <v>2.9742132021235251E-2</v>
      </c>
      <c r="H15" s="5">
        <v>2.9586026942611404E-2</v>
      </c>
      <c r="I15" s="5">
        <v>3.2185232534889988E-2</v>
      </c>
      <c r="J15" s="6">
        <v>3.3416008261788831E-2</v>
      </c>
      <c r="K15" s="6">
        <v>7.0688835771970077E-2</v>
      </c>
      <c r="L15" s="6">
        <v>2.7517374774765971E-2</v>
      </c>
      <c r="M15" s="6">
        <v>3.1026434590492764E-2</v>
      </c>
      <c r="N15" s="6">
        <v>4.1150721772297824E-2</v>
      </c>
      <c r="O15" s="7">
        <v>6.1363222957752411E-4</v>
      </c>
      <c r="P15" s="7">
        <v>1.2871469350270335E-2</v>
      </c>
      <c r="Q15" s="7">
        <v>2.1094837064463606E-2</v>
      </c>
      <c r="R15" s="7">
        <v>2.6928468823635129E-2</v>
      </c>
      <c r="S15" s="8">
        <v>4.5998080927390349E-2</v>
      </c>
      <c r="T15" s="8">
        <v>1.6209154602986973E-2</v>
      </c>
      <c r="U15" s="8">
        <v>-7.6517718407182939E-2</v>
      </c>
      <c r="W15" s="32">
        <v>2.8589803182446302E-2</v>
      </c>
    </row>
    <row r="16" spans="1:27" ht="15.75" customHeight="1" x14ac:dyDescent="0.2">
      <c r="B16" s="5">
        <v>-6.1105731127258413E-4</v>
      </c>
      <c r="C16" s="5">
        <v>-2.4691841555212818E-3</v>
      </c>
      <c r="D16" s="5">
        <v>-2.0164144117572638E-2</v>
      </c>
      <c r="E16" s="5">
        <v>4.416539272615206E-2</v>
      </c>
      <c r="F16" s="5">
        <v>-3.7779959166641106E-2</v>
      </c>
      <c r="G16" s="5">
        <v>-2.5077215237170183E-2</v>
      </c>
      <c r="H16" s="5">
        <v>1.2032467909529599E-2</v>
      </c>
      <c r="I16" s="5">
        <v>-2.4981816221904509E-2</v>
      </c>
      <c r="J16" s="6">
        <v>-2.8546065310615504E-2</v>
      </c>
      <c r="K16" s="6">
        <v>-5.5318388833303984E-2</v>
      </c>
      <c r="L16" s="6">
        <v>-1.2952260558035293E-2</v>
      </c>
      <c r="M16" s="6">
        <v>-4.5547821734722903E-2</v>
      </c>
      <c r="N16" s="6">
        <v>-4.217599716041797E-2</v>
      </c>
      <c r="O16" s="7">
        <v>1.9302207280758796E-2</v>
      </c>
      <c r="P16" s="7">
        <v>8.5637549112575577E-4</v>
      </c>
      <c r="Q16" s="7">
        <v>1.1140853999206099E-2</v>
      </c>
      <c r="R16" s="7">
        <v>-1.2926875722180705E-2</v>
      </c>
      <c r="S16" s="8">
        <v>-0.10227758627373518</v>
      </c>
      <c r="T16" s="8">
        <v>-2.8419131937397122E-2</v>
      </c>
      <c r="U16" s="8">
        <v>5.3974323441955289E-2</v>
      </c>
      <c r="W16" s="32">
        <v>-1.6280898111292685E-3</v>
      </c>
    </row>
    <row r="17" spans="2:23" ht="15.75" customHeight="1" x14ac:dyDescent="0.2">
      <c r="B17" s="5">
        <v>-7.998999590913114E-2</v>
      </c>
      <c r="C17" s="5">
        <v>-8.7712784814950276E-2</v>
      </c>
      <c r="D17" s="5">
        <v>-8.5335995012500179E-2</v>
      </c>
      <c r="E17" s="5">
        <v>-5.7880548757961461E-2</v>
      </c>
      <c r="F17" s="5">
        <v>-9.6363321048157216E-2</v>
      </c>
      <c r="G17" s="5">
        <v>-9.6979133281337143E-2</v>
      </c>
      <c r="H17" s="5">
        <v>-7.5771655996478032E-2</v>
      </c>
      <c r="I17" s="5">
        <v>-6.2369568536961947E-2</v>
      </c>
      <c r="J17" s="6">
        <v>-7.376808305064475E-2</v>
      </c>
      <c r="K17" s="6">
        <v>-3.5467461363219002E-2</v>
      </c>
      <c r="L17" s="6">
        <v>-7.1470545500353949E-2</v>
      </c>
      <c r="M17" s="6">
        <v>-8.4264869395340683E-2</v>
      </c>
      <c r="N17" s="6">
        <v>-7.6935676010631324E-2</v>
      </c>
      <c r="O17" s="7">
        <v>1.5019716420655796E-2</v>
      </c>
      <c r="P17" s="7">
        <v>-7.9170100977825307E-3</v>
      </c>
      <c r="Q17" s="7">
        <v>-2.0801264484701244E-2</v>
      </c>
      <c r="R17" s="7">
        <v>-2.6583403072212436E-2</v>
      </c>
      <c r="S17" s="8">
        <v>-0.15271709049996138</v>
      </c>
      <c r="T17" s="8">
        <v>-2.6868126144929495E-2</v>
      </c>
      <c r="U17" s="8">
        <v>-0.16280268218871585</v>
      </c>
      <c r="W17" s="32">
        <v>-8.4110469009648109E-2</v>
      </c>
    </row>
    <row r="18" spans="2:23" ht="15.75" customHeight="1" x14ac:dyDescent="0.2">
      <c r="B18" s="5">
        <v>-0.13885729858878443</v>
      </c>
      <c r="C18" s="5">
        <v>-0.18401800502910445</v>
      </c>
      <c r="D18" s="5">
        <v>-0.21959793701577809</v>
      </c>
      <c r="E18" s="5">
        <v>-0.10562386259020962</v>
      </c>
      <c r="F18" s="5">
        <v>-0.18320358560571914</v>
      </c>
      <c r="G18" s="5">
        <v>-0.13620679154221108</v>
      </c>
      <c r="H18" s="5">
        <v>-0.17802616692292064</v>
      </c>
      <c r="I18" s="5">
        <v>-5.0038146038328228E-2</v>
      </c>
      <c r="J18" s="6">
        <v>-0.14606730468748663</v>
      </c>
      <c r="K18" s="6">
        <v>-0.17046807468161296</v>
      </c>
      <c r="L18" s="6">
        <v>-0.10271290640535859</v>
      </c>
      <c r="M18" s="6">
        <v>-0.17370867184538957</v>
      </c>
      <c r="N18" s="6">
        <v>-0.19137624745037135</v>
      </c>
      <c r="O18" s="7">
        <v>-1.7170301629941424E-2</v>
      </c>
      <c r="P18" s="7">
        <v>-9.9614203009516608E-2</v>
      </c>
      <c r="Q18" s="7">
        <v>-8.6152833635802645E-2</v>
      </c>
      <c r="R18" s="7">
        <v>-0.13112454340062382</v>
      </c>
      <c r="S18" s="8">
        <v>-0.28315201276541851</v>
      </c>
      <c r="T18" s="8">
        <v>-0.37002808476248733</v>
      </c>
      <c r="U18" s="8">
        <v>-0.43863664040555556</v>
      </c>
      <c r="W18" s="32">
        <v>-0.12511932083595659</v>
      </c>
    </row>
    <row r="19" spans="2:23" ht="15.75" customHeight="1" x14ac:dyDescent="0.2">
      <c r="B19" s="5">
        <v>0.13133168671010062</v>
      </c>
      <c r="C19" s="5">
        <v>0.14234743502831879</v>
      </c>
      <c r="D19" s="5">
        <v>0.14553040047569396</v>
      </c>
      <c r="E19" s="5">
        <v>0.1709379943920708</v>
      </c>
      <c r="F19" s="5">
        <v>0.11079364573394278</v>
      </c>
      <c r="G19" s="5">
        <v>0.10261473990279806</v>
      </c>
      <c r="H19" s="5">
        <v>0.21926459346388438</v>
      </c>
      <c r="I19" s="5">
        <v>0.13444510670197793</v>
      </c>
      <c r="J19" s="6">
        <v>6.23066212408247E-2</v>
      </c>
      <c r="K19" s="6">
        <v>7.8092640829581034E-2</v>
      </c>
      <c r="L19" s="6">
        <v>6.9188707943765804E-2</v>
      </c>
      <c r="M19" s="6">
        <v>5.1704240117697843E-2</v>
      </c>
      <c r="N19" s="6">
        <v>6.0940601525593441E-2</v>
      </c>
      <c r="O19" s="7">
        <v>2.7053665426156538E-2</v>
      </c>
      <c r="P19" s="7">
        <v>3.8619873594235361E-2</v>
      </c>
      <c r="Q19" s="7">
        <v>5.9654146080618912E-2</v>
      </c>
      <c r="R19" s="7">
        <v>7.2798747742052791E-2</v>
      </c>
      <c r="S19" s="8">
        <v>0.286803346578336</v>
      </c>
      <c r="T19" s="8">
        <v>0.35429081690034342</v>
      </c>
      <c r="U19" s="8">
        <v>0.10761613936842764</v>
      </c>
      <c r="W19" s="32">
        <v>0.12684410293315368</v>
      </c>
    </row>
    <row r="20" spans="2:23" ht="15.75" customHeight="1" x14ac:dyDescent="0.2">
      <c r="B20" s="5">
        <v>5.396329066001096E-2</v>
      </c>
      <c r="C20" s="5">
        <v>7.2677718811278838E-2</v>
      </c>
      <c r="D20" s="5">
        <v>7.6527519887004722E-2</v>
      </c>
      <c r="E20" s="5">
        <v>8.9575671467971976E-2</v>
      </c>
      <c r="F20" s="5">
        <v>3.4581202834350781E-2</v>
      </c>
      <c r="G20" s="5">
        <v>2.8329786158465549E-2</v>
      </c>
      <c r="H20" s="5">
        <v>7.2790196300919055E-2</v>
      </c>
      <c r="I20" s="5">
        <v>4.3519496487436644E-2</v>
      </c>
      <c r="J20" s="6">
        <v>5.3552074743744571E-2</v>
      </c>
      <c r="K20" s="6">
        <v>3.2900101951403631E-2</v>
      </c>
      <c r="L20" s="6">
        <v>6.3659095310065555E-2</v>
      </c>
      <c r="M20" s="6">
        <v>4.4840565142123125E-2</v>
      </c>
      <c r="N20" s="6">
        <v>3.7460678626588931E-2</v>
      </c>
      <c r="O20" s="7">
        <v>1.355072524003556E-2</v>
      </c>
      <c r="P20" s="7">
        <v>3.7518854433208453E-2</v>
      </c>
      <c r="Q20" s="7">
        <v>1.2747158915889071E-2</v>
      </c>
      <c r="R20" s="7">
        <v>3.468338849040685E-2</v>
      </c>
      <c r="S20" s="8">
        <v>6.9147452464983815E-3</v>
      </c>
      <c r="T20" s="8">
        <v>3.4125494132547549E-2</v>
      </c>
      <c r="U20" s="8">
        <v>-3.6372509724576056E-2</v>
      </c>
      <c r="W20" s="32">
        <v>4.5281775012618368E-2</v>
      </c>
    </row>
    <row r="21" spans="2:23" ht="15.75" customHeight="1" x14ac:dyDescent="0.2">
      <c r="B21" s="5">
        <v>2.2981953156700943E-2</v>
      </c>
      <c r="C21" s="5">
        <v>2.0245421296431049E-2</v>
      </c>
      <c r="D21" s="5">
        <v>2.5908748494987588E-2</v>
      </c>
      <c r="E21" s="5">
        <v>6.357433599812598E-2</v>
      </c>
      <c r="F21" s="5">
        <v>3.8164861104955459E-3</v>
      </c>
      <c r="G21" s="5">
        <v>-7.6326094043132221E-3</v>
      </c>
      <c r="H21" s="5">
        <v>5.4877226156208894E-2</v>
      </c>
      <c r="I21" s="5">
        <v>-1.6347127573930417E-2</v>
      </c>
      <c r="J21" s="6">
        <v>3.68108484923041E-2</v>
      </c>
      <c r="K21" s="6">
        <v>6.4771815588246059E-2</v>
      </c>
      <c r="L21" s="6">
        <v>3.4086815862426949E-2</v>
      </c>
      <c r="M21" s="6">
        <v>2.0390743753594464E-2</v>
      </c>
      <c r="N21" s="6">
        <v>3.714506686695003E-2</v>
      </c>
      <c r="O21" s="7">
        <v>1.5604121732616147E-2</v>
      </c>
      <c r="P21" s="7">
        <v>2.3299049610774141E-3</v>
      </c>
      <c r="Q21" s="7">
        <v>2.3597231349112905E-2</v>
      </c>
      <c r="R21" s="7">
        <v>2.2277687311382188E-2</v>
      </c>
      <c r="S21" s="8">
        <v>-1.5741211215113547E-2</v>
      </c>
      <c r="T21" s="8">
        <v>0.1203011316410388</v>
      </c>
      <c r="U21" s="8">
        <v>0.24962834909251636</v>
      </c>
      <c r="W21" s="32">
        <v>1.838840328350267E-2</v>
      </c>
    </row>
    <row r="22" spans="2:23" ht="15.75" customHeight="1" x14ac:dyDescent="0.2">
      <c r="B22" s="5">
        <v>5.7433093671136345E-2</v>
      </c>
      <c r="C22" s="5">
        <v>6.3327414477496541E-2</v>
      </c>
      <c r="D22" s="5">
        <v>4.5978334013228157E-2</v>
      </c>
      <c r="E22" s="5">
        <v>8.7811366286602743E-2</v>
      </c>
      <c r="F22" s="5">
        <v>1.0515006574015677E-2</v>
      </c>
      <c r="G22" s="5">
        <v>3.071842370604436E-2</v>
      </c>
      <c r="H22" s="5">
        <v>9.2100160939320885E-2</v>
      </c>
      <c r="I22" s="5">
        <v>5.2115395473443724E-2</v>
      </c>
      <c r="J22" s="6">
        <v>2.4201777431415262E-2</v>
      </c>
      <c r="K22" s="6">
        <v>8.5836850607055384E-2</v>
      </c>
      <c r="L22" s="6">
        <v>3.9826816003631221E-2</v>
      </c>
      <c r="M22" s="6">
        <v>-2.3553450834325543E-2</v>
      </c>
      <c r="N22" s="6">
        <v>2.6763087826722647E-2</v>
      </c>
      <c r="O22" s="7">
        <v>1.76852533055895E-2</v>
      </c>
      <c r="P22" s="7">
        <v>4.5128545960830838E-2</v>
      </c>
      <c r="Q22" s="7">
        <v>5.8114965640824932E-2</v>
      </c>
      <c r="R22" s="7">
        <v>6.4154820238310151E-2</v>
      </c>
      <c r="S22" s="8">
        <v>-7.3142188124320329E-2</v>
      </c>
      <c r="T22" s="8">
        <v>0.27340526397498577</v>
      </c>
      <c r="U22" s="8">
        <v>-5.0398463826736226E-3</v>
      </c>
      <c r="W22" s="32">
        <v>5.5101296975444213E-2</v>
      </c>
    </row>
    <row r="23" spans="2:23" ht="15.75" customHeight="1" x14ac:dyDescent="0.2">
      <c r="B23" s="5">
        <v>7.1048584322920577E-2</v>
      </c>
      <c r="C23" s="5">
        <v>3.1843157207464577E-2</v>
      </c>
      <c r="D23" s="5">
        <v>3.9627861704822867E-2</v>
      </c>
      <c r="E23" s="5">
        <v>0.11258292442622418</v>
      </c>
      <c r="F23" s="5">
        <v>3.8471822488137838E-2</v>
      </c>
      <c r="G23" s="5">
        <v>3.1896498099695338E-2</v>
      </c>
      <c r="H23" s="5">
        <v>0.12947528326890137</v>
      </c>
      <c r="I23" s="5">
        <v>2.35825635480373E-2</v>
      </c>
      <c r="J23" s="6">
        <v>4.9228522019442222E-2</v>
      </c>
      <c r="K23" s="6">
        <v>2.7435545950376606E-2</v>
      </c>
      <c r="L23" s="6">
        <v>4.2466919975078947E-2</v>
      </c>
      <c r="M23" s="6">
        <v>6.0828353485178399E-2</v>
      </c>
      <c r="N23" s="6">
        <v>3.4817262418767023E-2</v>
      </c>
      <c r="O23" s="7">
        <v>-7.5649119781779333E-3</v>
      </c>
      <c r="P23" s="7">
        <v>5.6664323657859162E-3</v>
      </c>
      <c r="Q23" s="7">
        <v>1.0843815712371288E-2</v>
      </c>
      <c r="R23" s="7">
        <v>3.0239282834982697E-2</v>
      </c>
      <c r="S23" s="8">
        <v>-1.4876368900652436E-3</v>
      </c>
      <c r="T23" s="8">
        <v>5.3561159330961304E-2</v>
      </c>
      <c r="U23" s="8">
        <v>0.14140976521778736</v>
      </c>
      <c r="W23" s="32">
        <v>7.0064687324219249E-2</v>
      </c>
    </row>
    <row r="24" spans="2:23" ht="15.75" customHeight="1" x14ac:dyDescent="0.2">
      <c r="B24" s="5">
        <v>-3.5375355754451984E-2</v>
      </c>
      <c r="C24" s="5">
        <v>-1.6077410424078998E-2</v>
      </c>
      <c r="D24" s="5">
        <v>-2.584228377070719E-2</v>
      </c>
      <c r="E24" s="5">
        <v>-4.3918875970107407E-2</v>
      </c>
      <c r="F24" s="5">
        <v>-2.0905612160066936E-2</v>
      </c>
      <c r="G24" s="5">
        <v>-2.5810067867634522E-2</v>
      </c>
      <c r="H24" s="5">
        <v>-3.3335904652179289E-2</v>
      </c>
      <c r="I24" s="5">
        <v>-1.3600108973347574E-2</v>
      </c>
      <c r="J24" s="6">
        <v>-1.7829168340184706E-2</v>
      </c>
      <c r="K24" s="6">
        <v>-1.1957960775814999E-2</v>
      </c>
      <c r="L24" s="6">
        <v>-2.3309415901058986E-3</v>
      </c>
      <c r="M24" s="6">
        <v>-3.2624805633161821E-2</v>
      </c>
      <c r="N24" s="6">
        <v>-3.2539289032434471E-2</v>
      </c>
      <c r="O24" s="7">
        <v>-1.026526803483577E-3</v>
      </c>
      <c r="P24" s="7">
        <v>-8.184282968441663E-3</v>
      </c>
      <c r="Q24" s="7">
        <v>-1.658563481946379E-2</v>
      </c>
      <c r="R24" s="7">
        <v>-3.0837820569604137E-2</v>
      </c>
      <c r="S24" s="8">
        <v>-0.13862781157944257</v>
      </c>
      <c r="T24" s="8">
        <v>-9.6335156952419607E-2</v>
      </c>
      <c r="U24" s="8">
        <v>2.7664298470925112E-2</v>
      </c>
      <c r="W24" s="32">
        <v>-3.9227954095494386E-2</v>
      </c>
    </row>
    <row r="25" spans="2:23" ht="15.75" customHeight="1" x14ac:dyDescent="0.2">
      <c r="B25" s="5">
        <v>-1.9493996513317378E-2</v>
      </c>
      <c r="C25" s="5">
        <v>-6.8102978600154249E-4</v>
      </c>
      <c r="D25" s="5">
        <v>2.1521642106427201E-2</v>
      </c>
      <c r="E25" s="5">
        <v>-3.5840555611542264E-2</v>
      </c>
      <c r="F25" s="5">
        <v>-1.0707462757329369E-2</v>
      </c>
      <c r="G25" s="5">
        <v>-1.717527924025217E-2</v>
      </c>
      <c r="H25" s="5">
        <v>-2.3442252858847941E-2</v>
      </c>
      <c r="I25" s="5">
        <v>-2.8676525376159379E-2</v>
      </c>
      <c r="J25" s="6">
        <v>-3.4394881628703015E-2</v>
      </c>
      <c r="K25" s="6">
        <v>1.3182149840798322E-2</v>
      </c>
      <c r="L25" s="6">
        <v>-3.9830719134083196E-2</v>
      </c>
      <c r="M25" s="6">
        <v>-4.0367851036325592E-2</v>
      </c>
      <c r="N25" s="6">
        <v>-2.6892036903657927E-2</v>
      </c>
      <c r="O25" s="7">
        <v>-3.755893333632888E-3</v>
      </c>
      <c r="P25" s="7">
        <v>3.8208477816266736E-3</v>
      </c>
      <c r="Q25" s="7">
        <v>1.91595355216129E-3</v>
      </c>
      <c r="R25" s="7">
        <v>-4.2168959375329549E-3</v>
      </c>
      <c r="S25" s="8">
        <v>-6.7439559232890967E-2</v>
      </c>
      <c r="T25" s="8">
        <v>1.9122922898187421E-2</v>
      </c>
      <c r="U25" s="8">
        <v>-6.3069519070880709E-2</v>
      </c>
      <c r="W25" s="32">
        <v>-2.7963128159381494E-2</v>
      </c>
    </row>
    <row r="26" spans="2:23" ht="15.75" customHeight="1" x14ac:dyDescent="0.2">
      <c r="B26" s="5">
        <v>0.11803102549238012</v>
      </c>
      <c r="C26" s="5">
        <v>0.13364354245707025</v>
      </c>
      <c r="D26" s="5">
        <v>0.15778739231970806</v>
      </c>
      <c r="E26" s="5">
        <v>0.13420583886610946</v>
      </c>
      <c r="F26" s="5">
        <v>0.16426921520423393</v>
      </c>
      <c r="G26" s="5">
        <v>0.12257981187905505</v>
      </c>
      <c r="H26" s="5">
        <v>0.14123620394395192</v>
      </c>
      <c r="I26" s="5">
        <v>8.8367433252138611E-2</v>
      </c>
      <c r="J26" s="6">
        <v>0.14182073295136075</v>
      </c>
      <c r="K26" s="6">
        <v>8.5596915761047096E-2</v>
      </c>
      <c r="L26" s="6">
        <v>0.11413660128795433</v>
      </c>
      <c r="M26" s="6">
        <v>0.16666675745207496</v>
      </c>
      <c r="N26" s="6">
        <v>0.15021696967633696</v>
      </c>
      <c r="O26" s="7">
        <v>1.4152478455382487E-2</v>
      </c>
      <c r="P26" s="7">
        <v>2.9597357471277362E-2</v>
      </c>
      <c r="Q26" s="7">
        <v>4.1492448000195435E-2</v>
      </c>
      <c r="R26" s="7">
        <v>7.1799615934968711E-2</v>
      </c>
      <c r="S26" s="8">
        <v>0.28407088675348624</v>
      </c>
      <c r="T26" s="8">
        <v>0.13154506986686867</v>
      </c>
      <c r="U26" s="8">
        <v>0.26692579108946862</v>
      </c>
      <c r="W26" s="32">
        <v>0.10788446478390683</v>
      </c>
    </row>
    <row r="27" spans="2:23" ht="15.75" customHeight="1" x14ac:dyDescent="0.2">
      <c r="B27" s="5">
        <v>4.6763101628086647E-2</v>
      </c>
      <c r="C27" s="5">
        <v>4.0202210824823337E-2</v>
      </c>
      <c r="D27" s="5">
        <v>7.5133872440894908E-2</v>
      </c>
      <c r="E27" s="5">
        <v>5.001666299488803E-2</v>
      </c>
      <c r="F27" s="5">
        <v>2.9002093852796156E-2</v>
      </c>
      <c r="G27" s="5">
        <v>3.4010436218805444E-2</v>
      </c>
      <c r="H27" s="5">
        <v>5.2393775202825683E-2</v>
      </c>
      <c r="I27" s="5">
        <v>4.1577446946277387E-2</v>
      </c>
      <c r="J27" s="6">
        <v>5.5173408431523442E-2</v>
      </c>
      <c r="K27" s="6">
        <v>5.9993746622155272E-2</v>
      </c>
      <c r="L27" s="6">
        <v>5.3284948534848622E-2</v>
      </c>
      <c r="M27" s="6">
        <v>5.1271288722632175E-2</v>
      </c>
      <c r="N27" s="6">
        <v>5.3177602737564361E-2</v>
      </c>
      <c r="O27" s="7">
        <v>3.1593706892077381E-3</v>
      </c>
      <c r="P27" s="7">
        <v>1.2155695033681049E-2</v>
      </c>
      <c r="Q27" s="7">
        <v>3.4563542206968154E-2</v>
      </c>
      <c r="R27" s="7">
        <v>3.0404494349265329E-2</v>
      </c>
      <c r="S27" s="8">
        <v>2.0197953859388922E-2</v>
      </c>
      <c r="T27" s="8">
        <v>9.3945987355790475E-2</v>
      </c>
      <c r="U27" s="8">
        <v>5.4790064765717517E-2</v>
      </c>
      <c r="W27" s="32">
        <v>3.7121406659432372E-2</v>
      </c>
    </row>
    <row r="28" spans="2:23" ht="15.75" customHeight="1" x14ac:dyDescent="0.2">
      <c r="B28" s="5">
        <v>-3.3393467163090559E-3</v>
      </c>
      <c r="C28" s="5">
        <v>-4.7399189546525724E-3</v>
      </c>
      <c r="D28" s="5">
        <v>2.008423825261527E-2</v>
      </c>
      <c r="E28" s="5">
        <v>2.285540149322043E-3</v>
      </c>
      <c r="F28" s="5">
        <v>3.3022581008129763E-2</v>
      </c>
      <c r="G28" s="5">
        <v>-5.6825176200344159E-3</v>
      </c>
      <c r="H28" s="5">
        <v>2.9471679657850601E-2</v>
      </c>
      <c r="I28" s="5">
        <v>2.368927623894905E-2</v>
      </c>
      <c r="J28" s="6">
        <v>-7.497870655149343E-3</v>
      </c>
      <c r="K28" s="6">
        <v>3.1331136414088502E-2</v>
      </c>
      <c r="L28" s="6">
        <v>-1.4071966972007709E-2</v>
      </c>
      <c r="M28" s="6">
        <v>-8.7848016713332991E-4</v>
      </c>
      <c r="N28" s="6">
        <v>4.9358909786879025E-3</v>
      </c>
      <c r="O28" s="7">
        <v>-6.8762524430079257E-3</v>
      </c>
      <c r="P28" s="7">
        <v>3.4804497769550733E-4</v>
      </c>
      <c r="Q28" s="7">
        <v>-1.3004706589057991E-2</v>
      </c>
      <c r="R28" s="7">
        <v>-5.1282051282051135E-3</v>
      </c>
      <c r="S28" s="8">
        <v>3.256756959960936E-2</v>
      </c>
      <c r="T28" s="8">
        <v>3.0068311993369536E-2</v>
      </c>
      <c r="U28" s="8">
        <v>-8.7110180914009933E-2</v>
      </c>
      <c r="W28" s="32">
        <v>-1.1136640158463601E-2</v>
      </c>
    </row>
    <row r="29" spans="2:23" ht="15.75" customHeight="1" x14ac:dyDescent="0.2">
      <c r="B29" s="5">
        <v>3.1393443817382752E-2</v>
      </c>
      <c r="C29" s="5">
        <v>5.340420965356641E-2</v>
      </c>
      <c r="D29" s="5">
        <v>6.1685088760999943E-2</v>
      </c>
      <c r="E29" s="5">
        <v>1.4746123441775599E-2</v>
      </c>
      <c r="F29" s="5">
        <v>6.9057823664956455E-2</v>
      </c>
      <c r="G29" s="5">
        <v>4.571927189397644E-2</v>
      </c>
      <c r="H29" s="5">
        <v>8.1191154179335737E-4</v>
      </c>
      <c r="I29" s="5">
        <v>-1.9255074987836868E-2</v>
      </c>
      <c r="J29" s="6">
        <v>2.4622295494072952E-2</v>
      </c>
      <c r="K29" s="6">
        <v>1.5673421055269744E-2</v>
      </c>
      <c r="L29" s="6">
        <v>-6.0308233751109363E-4</v>
      </c>
      <c r="M29" s="6">
        <v>5.8901032077160888E-2</v>
      </c>
      <c r="N29" s="6">
        <v>3.7000517192872576E-2</v>
      </c>
      <c r="O29" s="7">
        <v>-1.3034772884225844E-2</v>
      </c>
      <c r="P29" s="7">
        <v>1.6818333536007258E-4</v>
      </c>
      <c r="Q29" s="7">
        <v>-1.9274695397397772E-2</v>
      </c>
      <c r="R29" s="7">
        <v>5.3323853537150972E-4</v>
      </c>
      <c r="S29" s="8">
        <v>0.24487761474925349</v>
      </c>
      <c r="T29" s="8">
        <v>6.5748335297577468E-2</v>
      </c>
      <c r="U29" s="8">
        <v>7.8014309619332922E-2</v>
      </c>
      <c r="W29" s="32">
        <v>2.6091474971999741E-2</v>
      </c>
    </row>
    <row r="30" spans="2:23" ht="15.75" customHeight="1" x14ac:dyDescent="0.2">
      <c r="B30" s="5">
        <v>3.6478848080992783E-2</v>
      </c>
      <c r="C30" s="5">
        <v>2.4010546479963556E-2</v>
      </c>
      <c r="D30" s="5">
        <v>1.8138075953820443E-2</v>
      </c>
      <c r="E30" s="5">
        <v>-2.9812734082396927E-2</v>
      </c>
      <c r="F30" s="5">
        <v>7.2494006713751599E-2</v>
      </c>
      <c r="G30" s="5">
        <v>6.9420670960902903E-2</v>
      </c>
      <c r="H30" s="5">
        <v>4.2227398619130552E-2</v>
      </c>
      <c r="I30" s="5">
        <v>2.1264224491400623E-2</v>
      </c>
      <c r="J30" s="6">
        <v>2.7307545276173885E-2</v>
      </c>
      <c r="K30" s="6">
        <v>-7.1041979351434597E-3</v>
      </c>
      <c r="L30" s="6">
        <v>1.03589749829897E-2</v>
      </c>
      <c r="M30" s="6">
        <v>4.9813529324843543E-2</v>
      </c>
      <c r="N30" s="6">
        <v>3.8976392087688438E-2</v>
      </c>
      <c r="O30" s="7">
        <v>-1.2989756795284484E-2</v>
      </c>
      <c r="P30" s="7">
        <v>-1.4963212848080035E-3</v>
      </c>
      <c r="Q30" s="7">
        <v>-1.8293548080486045E-2</v>
      </c>
      <c r="R30" s="7">
        <v>-1.8298099129507927E-2</v>
      </c>
      <c r="S30" s="8">
        <v>3.1070485097245675E-2</v>
      </c>
      <c r="T30" s="8">
        <v>5.5517443267783385E-2</v>
      </c>
      <c r="U30" s="8">
        <v>1.2686588150511009E-2</v>
      </c>
      <c r="W30" s="32">
        <v>4.2438634008107733E-2</v>
      </c>
    </row>
    <row r="31" spans="2:23" ht="15.75" customHeight="1" x14ac:dyDescent="0.2">
      <c r="B31" s="5">
        <v>5.0365610242928731E-2</v>
      </c>
      <c r="C31" s="5">
        <v>4.829653601582308E-2</v>
      </c>
      <c r="D31" s="5">
        <v>3.9284434914761052E-2</v>
      </c>
      <c r="E31" s="5">
        <v>6.9641754169240122E-2</v>
      </c>
      <c r="F31" s="5">
        <v>1.7763662703714784E-2</v>
      </c>
      <c r="G31" s="5">
        <v>2.5521921600501422E-2</v>
      </c>
      <c r="H31" s="5">
        <v>6.3172739876753092E-2</v>
      </c>
      <c r="I31" s="5">
        <v>4.1442750301610681E-2</v>
      </c>
      <c r="J31" s="6">
        <v>2.9771497250519221E-2</v>
      </c>
      <c r="K31" s="6">
        <v>1.7867397185081881E-2</v>
      </c>
      <c r="L31" s="6">
        <v>4.0811847070714724E-2</v>
      </c>
      <c r="M31" s="6">
        <v>7.9082472177980333E-3</v>
      </c>
      <c r="N31" s="6">
        <v>2.2765435565741194E-2</v>
      </c>
      <c r="O31" s="7">
        <v>8.5884648058245448E-3</v>
      </c>
      <c r="P31" s="7">
        <v>1.1855683280064909E-2</v>
      </c>
      <c r="Q31" s="7">
        <v>2.2172245070924506E-2</v>
      </c>
      <c r="R31" s="7">
        <v>2.5334781035106745E-2</v>
      </c>
      <c r="S31" s="8">
        <v>-8.5688826307095158E-3</v>
      </c>
      <c r="T31" s="8">
        <v>6.9209043430112568E-2</v>
      </c>
      <c r="U31" s="8">
        <v>6.8358157943722811E-2</v>
      </c>
      <c r="W31" s="32">
        <v>5.2425312555847307E-2</v>
      </c>
    </row>
    <row r="32" spans="2:23" ht="15.75" customHeight="1" x14ac:dyDescent="0.2">
      <c r="B32" s="5">
        <v>4.559788946381935E-3</v>
      </c>
      <c r="C32" s="5">
        <v>8.0592636247619632E-3</v>
      </c>
      <c r="D32" s="5">
        <v>4.0431382522898048E-4</v>
      </c>
      <c r="E32" s="5">
        <v>-2.7140176122419455E-2</v>
      </c>
      <c r="F32" s="5">
        <v>2.8480997305497562E-2</v>
      </c>
      <c r="G32" s="5">
        <v>3.0288053116399639E-2</v>
      </c>
      <c r="H32" s="5">
        <v>-2.8595157092974142E-2</v>
      </c>
      <c r="I32" s="5">
        <v>7.3460417433287503E-3</v>
      </c>
      <c r="J32" s="6">
        <v>3.5880015329245563E-2</v>
      </c>
      <c r="K32" s="6">
        <v>1.6987488466846015E-2</v>
      </c>
      <c r="L32" s="6">
        <v>3.2995547944214831E-2</v>
      </c>
      <c r="M32" s="6">
        <v>4.7077185287219207E-2</v>
      </c>
      <c r="N32" s="6">
        <v>4.3621224527735335E-2</v>
      </c>
      <c r="O32" s="7">
        <v>2.5227345065024971E-3</v>
      </c>
      <c r="P32" s="7">
        <v>1.8579139641079654E-3</v>
      </c>
      <c r="Q32" s="7">
        <v>1.5524525874953326E-2</v>
      </c>
      <c r="R32" s="7">
        <v>1.7649135192375574E-2</v>
      </c>
      <c r="S32" s="8">
        <v>5.0779745169976222E-2</v>
      </c>
      <c r="T32" s="8">
        <v>-1.645131921267768E-3</v>
      </c>
      <c r="U32" s="8">
        <v>-3.8837486100396015E-2</v>
      </c>
      <c r="W32" s="32">
        <v>5.4865025818131288E-3</v>
      </c>
    </row>
    <row r="33" spans="1:25" ht="15.75" customHeight="1" x14ac:dyDescent="0.2">
      <c r="B33" s="5">
        <v>2.4820129611874939E-2</v>
      </c>
      <c r="C33" s="5">
        <v>1.7737537576523202E-2</v>
      </c>
      <c r="D33" s="5">
        <v>1.4642889074933484E-2</v>
      </c>
      <c r="E33" s="5">
        <v>8.4433892268882593E-2</v>
      </c>
      <c r="F33" s="5">
        <v>-1.595233827372472E-2</v>
      </c>
      <c r="G33" s="5">
        <v>-1.1861845173804952E-2</v>
      </c>
      <c r="H33" s="5">
        <v>3.0659297598895845E-2</v>
      </c>
      <c r="I33" s="5">
        <v>3.2741466638874561E-2</v>
      </c>
      <c r="J33" s="6">
        <v>-8.5049914045299633E-3</v>
      </c>
      <c r="K33" s="6">
        <v>1.326815813402942E-2</v>
      </c>
      <c r="L33" s="6">
        <v>1.4310157971822296E-3</v>
      </c>
      <c r="M33" s="6">
        <v>-2.1690285786167697E-2</v>
      </c>
      <c r="N33" s="6">
        <v>-1.4950418700203978E-2</v>
      </c>
      <c r="O33" s="7">
        <v>1.0794255144826364E-2</v>
      </c>
      <c r="P33" s="7">
        <v>1.0095471733411753E-2</v>
      </c>
      <c r="Q33" s="7">
        <v>-1.670791263627134E-2</v>
      </c>
      <c r="R33" s="7">
        <v>-2.4280263614290646E-2</v>
      </c>
      <c r="S33" s="8">
        <v>6.0806161826697937E-2</v>
      </c>
      <c r="T33" s="8">
        <v>-3.6815488562053932E-2</v>
      </c>
      <c r="U33" s="8">
        <v>1.3605231931136559E-2</v>
      </c>
      <c r="W33" s="32">
        <v>2.221397632316955E-2</v>
      </c>
    </row>
    <row r="34" spans="1:25" ht="15.75" customHeight="1" x14ac:dyDescent="0.2">
      <c r="B34" s="5">
        <v>1.7368175333121124E-2</v>
      </c>
      <c r="C34" s="5">
        <v>1.3145006473031842E-2</v>
      </c>
      <c r="D34" s="5">
        <v>-1.4781821928312493E-2</v>
      </c>
      <c r="E34" s="5">
        <v>1.5051997810618617E-2</v>
      </c>
      <c r="F34" s="5">
        <v>-6.9478199261596256E-3</v>
      </c>
      <c r="G34" s="5">
        <v>5.536350142662582E-3</v>
      </c>
      <c r="H34" s="5">
        <v>3.3756581381267602E-3</v>
      </c>
      <c r="I34" s="5">
        <v>3.7591499505572813E-2</v>
      </c>
      <c r="J34" s="6">
        <v>3.2953105196450051E-3</v>
      </c>
      <c r="K34" s="6">
        <v>-5.8920984317062552E-2</v>
      </c>
      <c r="L34" s="6">
        <v>1.7710663683818097E-2</v>
      </c>
      <c r="M34" s="6">
        <v>-5.4221533694810446E-3</v>
      </c>
      <c r="N34" s="6">
        <v>-6.4726372546644196E-3</v>
      </c>
      <c r="O34" s="7">
        <v>1.188076843670683E-2</v>
      </c>
      <c r="P34" s="7">
        <v>5.1876434428787298E-3</v>
      </c>
      <c r="Q34" s="7">
        <v>1.3453224577498819E-2</v>
      </c>
      <c r="R34" s="7">
        <v>4.0881621045148241E-3</v>
      </c>
      <c r="S34" s="8">
        <v>-6.2586774024791292E-2</v>
      </c>
      <c r="T34" s="8">
        <v>-2.0708757825973482E-2</v>
      </c>
      <c r="U34" s="8">
        <v>4.8681677172965433E-2</v>
      </c>
      <c r="W34" s="32">
        <v>2.2748109365910464E-2</v>
      </c>
    </row>
    <row r="35" spans="1:25" ht="15.75" customHeight="1" x14ac:dyDescent="0.2">
      <c r="B35" s="5">
        <v>2.8585247948129142E-2</v>
      </c>
      <c r="C35" s="5">
        <v>3.0232598860352299E-2</v>
      </c>
      <c r="D35" s="5">
        <v>1.964417601926147E-2</v>
      </c>
      <c r="E35" s="5">
        <v>3.0062011323806814E-2</v>
      </c>
      <c r="F35" s="5">
        <v>7.6673997455141904E-3</v>
      </c>
      <c r="G35" s="5">
        <v>2.0882908291307227E-2</v>
      </c>
      <c r="H35" s="5">
        <v>1.8630600471027759E-2</v>
      </c>
      <c r="I35" s="5">
        <v>2.3671904476378115E-2</v>
      </c>
      <c r="J35" s="6">
        <v>1.187468418393125E-2</v>
      </c>
      <c r="K35" s="6">
        <v>2.1913450854095431E-2</v>
      </c>
      <c r="L35" s="6">
        <v>1.9325883861513092E-2</v>
      </c>
      <c r="M35" s="6">
        <v>1.0124610591900373E-2</v>
      </c>
      <c r="N35" s="6">
        <v>1.1992905621990728E-2</v>
      </c>
      <c r="O35" s="7">
        <v>-2.3516708607919483E-3</v>
      </c>
      <c r="P35" s="7">
        <v>5.1788265018445495E-3</v>
      </c>
      <c r="Q35" s="7">
        <v>-1.4186879256207924E-2</v>
      </c>
      <c r="R35" s="7">
        <v>-3.894494600814283E-3</v>
      </c>
      <c r="S35" s="8">
        <v>-2.8262866872894716E-2</v>
      </c>
      <c r="T35" s="8">
        <v>7.4969921036941695E-2</v>
      </c>
      <c r="U35" s="8">
        <v>-3.3157620311698604E-3</v>
      </c>
      <c r="W35" s="32">
        <v>2.8992596569941114E-2</v>
      </c>
    </row>
    <row r="36" spans="1:25" ht="15.75" customHeight="1" x14ac:dyDescent="0.2">
      <c r="B36" s="5">
        <v>-4.4641478116800117E-2</v>
      </c>
      <c r="C36" s="5">
        <v>-4.1904730302008822E-2</v>
      </c>
      <c r="D36" s="5">
        <v>-3.1242828574238598E-2</v>
      </c>
      <c r="E36" s="5">
        <v>-5.7191467085459892E-2</v>
      </c>
      <c r="F36" s="5">
        <v>-3.5215126907054931E-2</v>
      </c>
      <c r="G36" s="5">
        <v>-3.213843557610014E-2</v>
      </c>
      <c r="H36" s="5">
        <v>-2.9428083680163662E-2</v>
      </c>
      <c r="I36" s="5">
        <v>-5.5015993154639217E-2</v>
      </c>
      <c r="J36" s="6">
        <v>-3.3707865168539186E-2</v>
      </c>
      <c r="K36" s="6">
        <v>-3.3620013824200094E-2</v>
      </c>
      <c r="L36" s="6">
        <v>-4.3310270464552138E-2</v>
      </c>
      <c r="M36" s="6">
        <v>-8.8666152659984745E-3</v>
      </c>
      <c r="N36" s="6">
        <v>-2.3059782677023258E-2</v>
      </c>
      <c r="O36" s="7">
        <v>-8.1350636653305403E-3</v>
      </c>
      <c r="P36" s="7">
        <v>-1.6582823213547304E-3</v>
      </c>
      <c r="Q36" s="7">
        <v>-3.2313282629507806E-2</v>
      </c>
      <c r="R36" s="7">
        <v>-2.2036609205615815E-2</v>
      </c>
      <c r="S36" s="8">
        <v>0.11588469277004991</v>
      </c>
      <c r="T36" s="8">
        <v>9.5544134629190394E-3</v>
      </c>
      <c r="U36" s="8">
        <v>-0.10154151688852288</v>
      </c>
      <c r="W36" s="32">
        <v>-4.7571246315798704E-2</v>
      </c>
    </row>
    <row r="37" spans="1:25" ht="15.75" customHeight="1" x14ac:dyDescent="0.2">
      <c r="B37" s="5">
        <v>6.6873817887057527E-2</v>
      </c>
      <c r="C37" s="5">
        <v>6.5889508362899238E-2</v>
      </c>
      <c r="D37" s="5">
        <v>4.948095303425263E-2</v>
      </c>
      <c r="E37" s="5">
        <v>7.2737368128817245E-2</v>
      </c>
      <c r="F37" s="5">
        <v>2.4826216484607744E-2</v>
      </c>
      <c r="G37" s="5">
        <v>4.9250120948234194E-2</v>
      </c>
      <c r="H37" s="5">
        <v>9.3041262057618396E-2</v>
      </c>
      <c r="I37" s="5">
        <v>4.5678912445379478E-2</v>
      </c>
      <c r="J37" s="6">
        <v>3.2558139534883665E-2</v>
      </c>
      <c r="K37" s="6">
        <v>1.2997400519895994E-2</v>
      </c>
      <c r="L37" s="6">
        <v>4.2077580539119037E-2</v>
      </c>
      <c r="M37" s="6">
        <v>1.2057565149747131E-2</v>
      </c>
      <c r="N37" s="6">
        <v>2.9674489023467192E-2</v>
      </c>
      <c r="O37" s="7">
        <v>-1.190476190476165E-3</v>
      </c>
      <c r="P37" s="7">
        <v>-6.6889632107023462E-3</v>
      </c>
      <c r="Q37" s="7">
        <v>6.0383631222596084E-3</v>
      </c>
      <c r="R37" s="7">
        <v>-5.088133745229895E-3</v>
      </c>
      <c r="S37" s="8">
        <v>0.11011797391040297</v>
      </c>
      <c r="T37" s="8">
        <v>7.903294436605994E-2</v>
      </c>
      <c r="U37" s="8">
        <v>7.1807680299718929E-2</v>
      </c>
      <c r="W37" s="32">
        <v>6.9143873301234615E-2</v>
      </c>
    </row>
    <row r="38" spans="1:25" ht="15.75" customHeight="1" x14ac:dyDescent="0.15">
      <c r="A38" s="180" t="s">
        <v>97</v>
      </c>
      <c r="B38" s="35">
        <f>SLOPE(B2:B37,W2:W37)</f>
        <v>1.0290576355988412</v>
      </c>
      <c r="C38" s="35">
        <f>SLOPE(C$2:C$37,$W$2:$W$37)</f>
        <v>1.1063456286951721</v>
      </c>
      <c r="D38" s="35">
        <f t="shared" ref="D38:U38" si="0">SLOPE(D$2:D$37,$W$2:$W$37)</f>
        <v>1.1927321263043764</v>
      </c>
      <c r="E38" s="35">
        <f t="shared" si="0"/>
        <v>1.1027865640334771</v>
      </c>
      <c r="F38" s="35">
        <f t="shared" si="0"/>
        <v>1.1038458201950989</v>
      </c>
      <c r="G38" s="35">
        <f t="shared" si="0"/>
        <v>0.91877650713083547</v>
      </c>
      <c r="H38" s="35">
        <f t="shared" si="0"/>
        <v>1.2682613293603453</v>
      </c>
      <c r="I38" s="35">
        <f t="shared" si="0"/>
        <v>0.73932411625096528</v>
      </c>
      <c r="J38" s="35">
        <f t="shared" si="0"/>
        <v>0.84071188726284896</v>
      </c>
      <c r="K38" s="35">
        <f t="shared" si="0"/>
        <v>0.75901014376562637</v>
      </c>
      <c r="L38" s="35">
        <f t="shared" si="0"/>
        <v>0.75007607255622177</v>
      </c>
      <c r="M38" s="35">
        <f t="shared" si="0"/>
        <v>0.8992243484041299</v>
      </c>
      <c r="N38" s="35">
        <f t="shared" si="0"/>
        <v>0.88610704858664202</v>
      </c>
      <c r="O38" s="35">
        <f t="shared" si="0"/>
        <v>4.6505112555088705E-2</v>
      </c>
      <c r="P38" s="35">
        <f t="shared" si="0"/>
        <v>0.34283328678221675</v>
      </c>
      <c r="Q38" s="35">
        <f t="shared" si="0"/>
        <v>0.35066218031962643</v>
      </c>
      <c r="R38" s="35">
        <f t="shared" si="0"/>
        <v>0.504858411105917</v>
      </c>
      <c r="S38" s="35">
        <f t="shared" si="0"/>
        <v>1.5198452962327695</v>
      </c>
      <c r="T38" s="35">
        <f t="shared" si="0"/>
        <v>1.7667049878221521</v>
      </c>
      <c r="U38" s="35">
        <f t="shared" si="0"/>
        <v>1.4737244975765866</v>
      </c>
    </row>
    <row r="39" spans="1:25" ht="15.75" customHeight="1" x14ac:dyDescent="0.15">
      <c r="A39" s="180" t="s">
        <v>100</v>
      </c>
      <c r="B39" s="34">
        <f>0.02+B38*(0.075-0.02)</f>
        <v>7.6598169957936266E-2</v>
      </c>
      <c r="C39" s="34">
        <f>0.02+C38*(0.075-0.02)</f>
        <v>8.084900957823446E-2</v>
      </c>
      <c r="D39" s="34">
        <f t="shared" ref="D39:U39" si="1">0.02+D38*(0.075-0.02)</f>
        <v>8.5600266946740694E-2</v>
      </c>
      <c r="E39" s="34">
        <f t="shared" si="1"/>
        <v>8.0653261021841227E-2</v>
      </c>
      <c r="F39" s="34">
        <f t="shared" si="1"/>
        <v>8.0711520110730434E-2</v>
      </c>
      <c r="G39" s="34">
        <f>0.02+G38*(0.075-0.02)</f>
        <v>7.0532707892195942E-2</v>
      </c>
      <c r="H39" s="34">
        <f t="shared" si="1"/>
        <v>8.9754373114818986E-2</v>
      </c>
      <c r="I39" s="34">
        <f t="shared" si="1"/>
        <v>6.066282639380309E-2</v>
      </c>
      <c r="J39" s="34">
        <f>0.02+J38*(0.075-0.02)</f>
        <v>6.623915379945669E-2</v>
      </c>
      <c r="K39" s="34">
        <f t="shared" si="1"/>
        <v>6.174555790710945E-2</v>
      </c>
      <c r="L39" s="34">
        <f t="shared" si="1"/>
        <v>6.1254183990592195E-2</v>
      </c>
      <c r="M39" s="34">
        <f t="shared" si="1"/>
        <v>6.9457339162227141E-2</v>
      </c>
      <c r="N39" s="34">
        <f t="shared" si="1"/>
        <v>6.8735887672265308E-2</v>
      </c>
      <c r="O39" s="34">
        <f t="shared" si="1"/>
        <v>2.2557781190529879E-2</v>
      </c>
      <c r="P39" s="34">
        <f t="shared" si="1"/>
        <v>3.8855830773021918E-2</v>
      </c>
      <c r="Q39" s="34">
        <f t="shared" si="1"/>
        <v>3.9286419917579453E-2</v>
      </c>
      <c r="R39" s="34">
        <f t="shared" si="1"/>
        <v>4.7767212610825435E-2</v>
      </c>
      <c r="S39" s="34">
        <f t="shared" si="1"/>
        <v>0.10359149129280232</v>
      </c>
      <c r="T39" s="34">
        <f t="shared" si="1"/>
        <v>0.11716877433021836</v>
      </c>
      <c r="U39" s="34">
        <f t="shared" si="1"/>
        <v>0.10105484736671226</v>
      </c>
    </row>
    <row r="40" spans="1:25" ht="15.75" customHeight="1" x14ac:dyDescent="0.2">
      <c r="W40" s="20"/>
      <c r="X40" s="20"/>
      <c r="Y40" s="20"/>
    </row>
    <row r="41" spans="1:25" ht="15.75" customHeight="1" x14ac:dyDescent="0.2">
      <c r="B41" s="10" t="s">
        <v>95</v>
      </c>
      <c r="C41" s="26" t="s">
        <v>77</v>
      </c>
      <c r="D41" s="26" t="s">
        <v>76</v>
      </c>
      <c r="E41" s="26" t="s">
        <v>75</v>
      </c>
      <c r="F41" s="26" t="s">
        <v>74</v>
      </c>
      <c r="G41" s="26" t="s">
        <v>73</v>
      </c>
      <c r="H41" s="26" t="s">
        <v>72</v>
      </c>
      <c r="I41" s="26" t="s">
        <v>71</v>
      </c>
      <c r="J41" s="26" t="s">
        <v>70</v>
      </c>
      <c r="K41" s="25" t="s">
        <v>68</v>
      </c>
      <c r="L41" s="25" t="s">
        <v>67</v>
      </c>
      <c r="M41" s="25" t="s">
        <v>66</v>
      </c>
      <c r="N41" s="25" t="s">
        <v>65</v>
      </c>
      <c r="O41" s="25" t="s">
        <v>64</v>
      </c>
      <c r="P41" s="27" t="s">
        <v>62</v>
      </c>
      <c r="Q41" s="27" t="s">
        <v>61</v>
      </c>
      <c r="R41" s="27" t="s">
        <v>60</v>
      </c>
      <c r="S41" s="27" t="s">
        <v>59</v>
      </c>
      <c r="T41" s="28" t="s">
        <v>80</v>
      </c>
      <c r="U41" s="28" t="s">
        <v>79</v>
      </c>
      <c r="V41" s="29" t="s">
        <v>47</v>
      </c>
      <c r="W41" s="31"/>
      <c r="X41" s="31"/>
      <c r="Y41" s="31"/>
    </row>
    <row r="42" spans="1:25" ht="15.75" customHeight="1" x14ac:dyDescent="0.15">
      <c r="B42" s="10" t="s">
        <v>84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0.3</v>
      </c>
      <c r="K42" s="12">
        <v>0</v>
      </c>
      <c r="L42" s="12">
        <v>0</v>
      </c>
      <c r="M42" s="12">
        <v>0.40000000000000013</v>
      </c>
      <c r="N42" s="12">
        <v>0</v>
      </c>
      <c r="O42" s="12">
        <v>0</v>
      </c>
      <c r="P42" s="12">
        <v>0.29999999999999971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31"/>
      <c r="X42" s="31"/>
      <c r="Y42" s="31"/>
    </row>
    <row r="43" spans="1:25" ht="15.75" customHeight="1" x14ac:dyDescent="0.15">
      <c r="B43" s="10" t="s">
        <v>85</v>
      </c>
      <c r="C43" s="12" cm="1">
        <f t="array" ref="C43">MMULT($C$42:$V$42,'Covariance Matrix'!B77:B96)</f>
        <v>2.8533253378703622E-2</v>
      </c>
      <c r="D43" s="12" cm="1">
        <f t="array" ref="D43">MMULT($C$42:$V$42,'Covariance Matrix'!C77:C96)</f>
        <v>3.1645642406731365E-2</v>
      </c>
      <c r="E43" s="12" cm="1">
        <f t="array" ref="E43">MMULT($C$42:$V$42,'Covariance Matrix'!D77:D96)</f>
        <v>3.5363868610647838E-2</v>
      </c>
      <c r="F43" s="12" cm="1">
        <f t="array" ref="F43">MMULT($C$42:$V$42,'Covariance Matrix'!E77:E96)</f>
        <v>3.3757504110890763E-2</v>
      </c>
      <c r="G43" s="12" cm="1">
        <f t="array" ref="G43">MMULT($C$42:$V$42,'Covariance Matrix'!F77:F96)</f>
        <v>3.3380134486143187E-2</v>
      </c>
      <c r="H43" s="12" cm="1">
        <f t="array" ref="H43">MMULT($C$42:$V$42,'Covariance Matrix'!G77:G96)</f>
        <v>2.6685681051311732E-2</v>
      </c>
      <c r="I43" s="12" cm="1">
        <f t="array" ref="I43">MMULT($C$42:$V$42,'Covariance Matrix'!H77:H96)</f>
        <v>3.6693328793461162E-2</v>
      </c>
      <c r="J43" s="12" cm="1">
        <f t="array" ref="J43">MMULT($C$42:$V$42,'Covariance Matrix'!I77:I96)</f>
        <v>2.324973730833902E-2</v>
      </c>
      <c r="K43" s="12" cm="1">
        <f t="array" ref="K43">MMULT($C$42:$V$42,'Covariance Matrix'!J77:J96)</f>
        <v>2.7826687154500315E-2</v>
      </c>
      <c r="L43" s="12" cm="1">
        <f t="array" ref="L43">MMULT($C$42:$V$42,'Covariance Matrix'!K77:K96)</f>
        <v>2.6654646353888291E-2</v>
      </c>
      <c r="M43" s="12" cm="1">
        <f t="array" ref="M43">MMULT($C$42:$V$42,'Covariance Matrix'!L77:L96)</f>
        <v>2.1477526116187966E-2</v>
      </c>
      <c r="N43" s="12" cm="1">
        <f t="array" ref="N43">MMULT($C$42:$V$42,'Covariance Matrix'!M77:M96)</f>
        <v>2.928290709442798E-2</v>
      </c>
      <c r="O43" s="12" cm="1">
        <f t="array" ref="O43">MMULT($C$42:$V$42,'Covariance Matrix'!N77:N96)</f>
        <v>2.8037578293046084E-2</v>
      </c>
      <c r="P43" s="12" cm="1">
        <f t="array" ref="P43">MMULT($C$42:$V$42,'Covariance Matrix'!O77:O96)</f>
        <v>5.3507364016577071E-3</v>
      </c>
      <c r="Q43" s="12" cm="1">
        <f t="array" ref="Q43">MMULT($C$42:$V$42,'Covariance Matrix'!P77:P96)</f>
        <v>1.2168936320548843E-2</v>
      </c>
      <c r="R43" s="12" cm="1">
        <f t="array" ref="R43">MMULT($C$42:$V$42,'Covariance Matrix'!Q77:Q96)</f>
        <v>1.3782339311980902E-2</v>
      </c>
      <c r="S43" s="12" cm="1">
        <f t="array" ref="S43">MMULT($C$42:$V$42,'Covariance Matrix'!R77:R96)</f>
        <v>1.808222873446725E-2</v>
      </c>
      <c r="T43" s="12" cm="1">
        <f t="array" ref="T43">MMULT($C$42:$V$42,'Covariance Matrix'!S77:S96)</f>
        <v>5.6518683803692536E-2</v>
      </c>
      <c r="U43" s="12" cm="1">
        <f t="array" ref="U43">MMULT($C$42:$V$42,'Covariance Matrix'!T77:T96)</f>
        <v>6.0168880293225598E-2</v>
      </c>
      <c r="V43" s="12" cm="1">
        <f t="array" ref="V43">MMULT($C$42:$V$42,'Covariance Matrix'!U77:U96)</f>
        <v>5.8654640317606324E-2</v>
      </c>
      <c r="W43" s="24"/>
      <c r="X43" s="24"/>
      <c r="Y43" s="24"/>
    </row>
    <row r="44" spans="1:25" ht="15.75" customHeight="1" x14ac:dyDescent="0.15">
      <c r="B44" s="10" t="s">
        <v>96</v>
      </c>
      <c r="C44" s="19">
        <f>SUM(C42:J42)</f>
        <v>0.3</v>
      </c>
      <c r="D44" s="13"/>
      <c r="E44" s="13"/>
      <c r="F44" s="13"/>
      <c r="G44" s="13"/>
      <c r="H44" s="13"/>
      <c r="I44" s="13"/>
      <c r="J44" s="13"/>
      <c r="K44" s="19">
        <f>SUM(K42:O42)</f>
        <v>0.40000000000000013</v>
      </c>
      <c r="L44" s="13"/>
      <c r="M44" s="13"/>
      <c r="N44" s="13"/>
      <c r="O44" s="13"/>
      <c r="P44" s="19">
        <f>SUM(P42:S42)</f>
        <v>0.29999999999999971</v>
      </c>
      <c r="Q44" s="13"/>
      <c r="R44" s="13"/>
      <c r="S44" s="13"/>
      <c r="T44" s="19">
        <f>SUM(T42:V42)</f>
        <v>0</v>
      </c>
      <c r="U44" s="13"/>
      <c r="V44" s="30"/>
    </row>
    <row r="46" spans="1:25" ht="15.75" customHeight="1" x14ac:dyDescent="0.15">
      <c r="F46" s="24"/>
      <c r="G46" s="24"/>
      <c r="H46" s="24"/>
      <c r="I46" s="24"/>
      <c r="J46" s="24"/>
    </row>
    <row r="47" spans="1:25" ht="15.75" customHeight="1" x14ac:dyDescent="0.25">
      <c r="B47" s="10" t="s">
        <v>86</v>
      </c>
      <c r="C47" s="12">
        <f>SUM(C42:V42)</f>
        <v>0.99999999999999989</v>
      </c>
      <c r="F47" s="24"/>
      <c r="G47" s="64"/>
      <c r="H47" s="66" t="s">
        <v>118</v>
      </c>
      <c r="I47" s="67">
        <v>-14.2333</v>
      </c>
      <c r="J47" s="24"/>
      <c r="K47" s="75" t="s">
        <v>124</v>
      </c>
      <c r="L47" s="76" t="s">
        <v>123</v>
      </c>
      <c r="R47" s="26" t="s">
        <v>77</v>
      </c>
      <c r="S47" s="12">
        <f>C42</f>
        <v>0</v>
      </c>
    </row>
    <row r="48" spans="1:25" ht="15" customHeight="1" x14ac:dyDescent="0.25">
      <c r="B48" s="10" t="s">
        <v>90</v>
      </c>
      <c r="C48" s="42" cm="1">
        <f t="array" ref="C48">MMULT(C43:V43,S47:S66)</f>
        <v>1.7171152559474205E-2</v>
      </c>
      <c r="D48" s="10" t="s">
        <v>91</v>
      </c>
      <c r="E48" s="43">
        <f>SQRT(C48)</f>
        <v>0.13103874449747374</v>
      </c>
      <c r="F48" s="24"/>
      <c r="G48" s="64"/>
      <c r="H48" s="66" t="s">
        <v>119</v>
      </c>
      <c r="I48" s="67">
        <v>7.6166999999999998</v>
      </c>
      <c r="J48" s="62"/>
      <c r="K48" s="60" t="s">
        <v>95</v>
      </c>
      <c r="L48" s="60" t="s">
        <v>70</v>
      </c>
      <c r="M48" s="60" t="s">
        <v>66</v>
      </c>
      <c r="N48" s="60" t="s">
        <v>62</v>
      </c>
      <c r="R48" s="26" t="s">
        <v>76</v>
      </c>
      <c r="S48" s="12">
        <f>D42</f>
        <v>0</v>
      </c>
    </row>
    <row r="49" spans="1:19" ht="15.75" customHeight="1" x14ac:dyDescent="0.2">
      <c r="F49" s="24"/>
      <c r="G49" s="65"/>
      <c r="H49" s="65"/>
      <c r="I49" s="65"/>
      <c r="J49" s="24"/>
      <c r="K49" s="60" t="s">
        <v>122</v>
      </c>
      <c r="L49" s="74">
        <v>0.3</v>
      </c>
      <c r="M49" s="74">
        <v>0.4</v>
      </c>
      <c r="N49" s="74">
        <v>0.3</v>
      </c>
      <c r="R49" s="26" t="s">
        <v>75</v>
      </c>
      <c r="S49" s="12">
        <f>E42</f>
        <v>0</v>
      </c>
    </row>
    <row r="50" spans="1:19" ht="15.75" customHeight="1" x14ac:dyDescent="0.25">
      <c r="B50" s="10" t="s">
        <v>44</v>
      </c>
      <c r="F50" s="24"/>
      <c r="G50" s="68" t="s">
        <v>120</v>
      </c>
      <c r="H50" s="69" t="s">
        <v>121</v>
      </c>
      <c r="I50" s="73">
        <f>C51-I48*C48</f>
        <v>-8.1319661828210404E-2</v>
      </c>
      <c r="J50" s="24"/>
      <c r="R50" s="26" t="s">
        <v>74</v>
      </c>
      <c r="S50" s="12">
        <f>F42</f>
        <v>0</v>
      </c>
    </row>
    <row r="51" spans="1:19" ht="15.75" customHeight="1" x14ac:dyDescent="0.2">
      <c r="B51" s="10" t="s">
        <v>92</v>
      </c>
      <c r="C51" s="17">
        <f>SUMPRODUCT(C42:V42,B39:U39)</f>
        <v>4.9467855871536764E-2</v>
      </c>
      <c r="F51" s="24"/>
      <c r="G51" s="61"/>
      <c r="H51" s="61"/>
      <c r="I51" s="24"/>
      <c r="J51" s="24"/>
      <c r="R51" s="26" t="s">
        <v>73</v>
      </c>
      <c r="S51" s="12">
        <f>G42</f>
        <v>0</v>
      </c>
    </row>
    <row r="52" spans="1:19" ht="15.75" customHeight="1" x14ac:dyDescent="0.2">
      <c r="B52" s="10" t="s">
        <v>93</v>
      </c>
      <c r="C52" s="14">
        <v>0</v>
      </c>
      <c r="F52" s="24"/>
      <c r="G52" s="61"/>
      <c r="H52" s="61"/>
      <c r="I52" s="24"/>
      <c r="J52" s="24"/>
      <c r="R52" s="26" t="s">
        <v>72</v>
      </c>
      <c r="S52" s="12">
        <f>H42</f>
        <v>0</v>
      </c>
    </row>
    <row r="53" spans="1:19" ht="15.75" customHeight="1" x14ac:dyDescent="0.2">
      <c r="B53" s="18"/>
      <c r="F53" s="24"/>
      <c r="G53" s="61"/>
      <c r="H53" s="61"/>
      <c r="I53" s="24"/>
      <c r="J53" s="24"/>
      <c r="R53" s="26" t="s">
        <v>71</v>
      </c>
      <c r="S53" s="12">
        <f>I42</f>
        <v>0</v>
      </c>
    </row>
    <row r="54" spans="1:19" ht="15.75" customHeight="1" x14ac:dyDescent="0.2">
      <c r="B54" s="10" t="s">
        <v>101</v>
      </c>
      <c r="C54" s="60" t="s">
        <v>107</v>
      </c>
      <c r="D54" s="60" t="s">
        <v>84</v>
      </c>
      <c r="E54" s="60" t="s">
        <v>108</v>
      </c>
      <c r="F54" s="24"/>
      <c r="G54" s="61"/>
      <c r="H54" s="61"/>
      <c r="I54" s="24"/>
      <c r="J54" s="24"/>
      <c r="R54" s="26" t="s">
        <v>70</v>
      </c>
      <c r="S54" s="12">
        <f>J42</f>
        <v>0.3</v>
      </c>
    </row>
    <row r="55" spans="1:19" ht="15.75" customHeight="1" x14ac:dyDescent="0.2">
      <c r="B55" s="36" t="s">
        <v>102</v>
      </c>
      <c r="C55" s="40">
        <v>0.3</v>
      </c>
      <c r="D55" s="45" t="s">
        <v>106</v>
      </c>
      <c r="E55" s="40">
        <v>0.95</v>
      </c>
      <c r="F55" s="24"/>
      <c r="G55" s="61"/>
      <c r="H55" s="61"/>
      <c r="I55" s="24"/>
      <c r="J55" s="24"/>
      <c r="R55" s="25" t="s">
        <v>68</v>
      </c>
      <c r="S55" s="12">
        <f>K42</f>
        <v>0</v>
      </c>
    </row>
    <row r="56" spans="1:19" ht="15.75" customHeight="1" x14ac:dyDescent="0.2">
      <c r="B56" s="37" t="s">
        <v>103</v>
      </c>
      <c r="C56" s="40">
        <v>0.1</v>
      </c>
      <c r="D56" s="45" t="s">
        <v>106</v>
      </c>
      <c r="E56" s="40">
        <v>0.4</v>
      </c>
      <c r="F56" s="24"/>
      <c r="G56" s="61"/>
      <c r="H56" s="61"/>
      <c r="I56" s="24"/>
      <c r="J56" s="24"/>
      <c r="R56" s="25" t="s">
        <v>67</v>
      </c>
      <c r="S56" s="12">
        <f>L42</f>
        <v>0</v>
      </c>
    </row>
    <row r="57" spans="1:19" ht="15.75" customHeight="1" x14ac:dyDescent="0.2">
      <c r="B57" s="38" t="s">
        <v>104</v>
      </c>
      <c r="C57" s="40">
        <v>0</v>
      </c>
      <c r="D57" s="45" t="s">
        <v>106</v>
      </c>
      <c r="E57" s="40">
        <v>0.7</v>
      </c>
      <c r="F57" s="24"/>
      <c r="G57" s="24"/>
      <c r="H57" s="24"/>
      <c r="I57" s="24"/>
      <c r="J57" s="24"/>
      <c r="R57" s="25" t="s">
        <v>66</v>
      </c>
      <c r="S57" s="12">
        <f>M42</f>
        <v>0.40000000000000013</v>
      </c>
    </row>
    <row r="58" spans="1:19" ht="15.75" customHeight="1" x14ac:dyDescent="0.2">
      <c r="B58" s="39" t="s">
        <v>105</v>
      </c>
      <c r="C58" s="40">
        <v>0</v>
      </c>
      <c r="D58" s="45" t="s">
        <v>106</v>
      </c>
      <c r="E58" s="40">
        <v>0.2</v>
      </c>
      <c r="F58" s="24"/>
      <c r="G58" s="24"/>
      <c r="H58" s="24"/>
      <c r="I58" s="24"/>
      <c r="J58" s="24"/>
      <c r="R58" s="25" t="s">
        <v>65</v>
      </c>
      <c r="S58" s="12">
        <f>N42</f>
        <v>0</v>
      </c>
    </row>
    <row r="59" spans="1:19" ht="15.75" customHeight="1" x14ac:dyDescent="0.2">
      <c r="B59" s="24"/>
      <c r="C59" s="24"/>
      <c r="D59" s="31"/>
      <c r="F59" s="24"/>
      <c r="G59" s="24"/>
      <c r="H59" s="24"/>
      <c r="I59" s="24"/>
      <c r="J59" s="24"/>
      <c r="N59" s="11" t="s">
        <v>109</v>
      </c>
      <c r="R59" s="25" t="s">
        <v>64</v>
      </c>
      <c r="S59" s="12">
        <f>O42</f>
        <v>0</v>
      </c>
    </row>
    <row r="60" spans="1:19" ht="15.75" customHeight="1" x14ac:dyDescent="0.2">
      <c r="A60" s="24"/>
      <c r="B60" s="24"/>
      <c r="C60" s="24"/>
      <c r="D60" s="31"/>
      <c r="R60" s="27" t="s">
        <v>62</v>
      </c>
      <c r="S60" s="12">
        <f>P42</f>
        <v>0.29999999999999971</v>
      </c>
    </row>
    <row r="61" spans="1:19" ht="15.75" customHeight="1" x14ac:dyDescent="0.2">
      <c r="A61" s="24"/>
      <c r="B61" s="24"/>
      <c r="C61" s="24"/>
      <c r="D61" s="31"/>
      <c r="R61" s="27" t="s">
        <v>61</v>
      </c>
      <c r="S61" s="12">
        <f>Q42</f>
        <v>0</v>
      </c>
    </row>
    <row r="62" spans="1:19" ht="15.75" customHeight="1" x14ac:dyDescent="0.2">
      <c r="A62" s="24"/>
      <c r="B62" s="24"/>
      <c r="C62" s="63"/>
      <c r="D62" s="63"/>
      <c r="R62" s="27" t="s">
        <v>60</v>
      </c>
      <c r="S62" s="12">
        <f>R42</f>
        <v>0</v>
      </c>
    </row>
    <row r="63" spans="1:19" ht="15.75" customHeight="1" x14ac:dyDescent="0.2">
      <c r="A63" s="24"/>
      <c r="B63" s="24"/>
      <c r="C63" s="63"/>
      <c r="D63" s="63"/>
      <c r="R63" s="27" t="s">
        <v>59</v>
      </c>
      <c r="S63" s="12">
        <f>S42</f>
        <v>0</v>
      </c>
    </row>
    <row r="64" spans="1:19" ht="15.75" customHeight="1" x14ac:dyDescent="0.2">
      <c r="A64" s="24"/>
      <c r="B64" s="24"/>
      <c r="C64" s="63"/>
      <c r="D64" s="63"/>
      <c r="R64" s="28" t="s">
        <v>80</v>
      </c>
      <c r="S64" s="12">
        <f>T42</f>
        <v>0</v>
      </c>
    </row>
    <row r="65" spans="1:19" ht="15.75" customHeight="1" x14ac:dyDescent="0.2">
      <c r="A65" s="24"/>
      <c r="B65" s="24"/>
      <c r="C65" s="24"/>
      <c r="D65" s="24"/>
      <c r="R65" s="28" t="s">
        <v>79</v>
      </c>
      <c r="S65" s="12">
        <f>U42</f>
        <v>0</v>
      </c>
    </row>
    <row r="66" spans="1:19" ht="15.75" customHeight="1" x14ac:dyDescent="0.2">
      <c r="A66" s="24"/>
      <c r="B66" s="24"/>
      <c r="C66" s="24"/>
      <c r="D66" s="24"/>
      <c r="R66" s="29" t="s">
        <v>47</v>
      </c>
      <c r="S66" s="12">
        <f>V42</f>
        <v>0</v>
      </c>
    </row>
    <row r="67" spans="1:19" ht="15.75" customHeight="1" x14ac:dyDescent="0.2">
      <c r="R67" s="20"/>
      <c r="S67" s="31"/>
    </row>
    <row r="68" spans="1:19" ht="15.75" customHeight="1" x14ac:dyDescent="0.2">
      <c r="R68" s="20"/>
      <c r="S68" s="31"/>
    </row>
    <row r="69" spans="1:19" ht="15.75" customHeight="1" x14ac:dyDescent="0.2">
      <c r="R69" s="20"/>
      <c r="S69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 of Funds</vt:lpstr>
      <vt:lpstr>Return Data</vt:lpstr>
      <vt:lpstr>Covariance Matrix</vt:lpstr>
      <vt:lpstr>Correlation Matrix</vt:lpstr>
      <vt:lpstr>Solver</vt:lpstr>
      <vt:lpstr>Shrunken Solver</vt:lpstr>
      <vt:lpstr>Frontier Comparison</vt:lpstr>
      <vt:lpstr>Specific Portfolio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2021-11-17T19:41:26Z</dcterms:created>
  <dcterms:modified xsi:type="dcterms:W3CDTF">2021-12-05T01:35:16Z</dcterms:modified>
</cp:coreProperties>
</file>